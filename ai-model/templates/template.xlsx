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1_20E7C95A9F899F8B9E15E85A9193CB393668B1D6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Raw_Data" sheetId="1" r:id="rId1"/>
    <sheet name="Analysis" sheetId="2" r:id="rId2"/>
    <sheet name="Dashboard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5" i="2"/>
  <c r="B7" i="2"/>
  <c r="B6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B8" i="2"/>
  <c r="B10" i="2"/>
  <c r="C60" i="2"/>
  <c r="A64" i="2"/>
  <c r="C61" i="2"/>
  <c r="C56" i="2"/>
  <c r="B56" i="2"/>
  <c r="C55" i="2"/>
  <c r="B55" i="2"/>
  <c r="C54" i="2"/>
  <c r="B54" i="2"/>
  <c r="C53" i="2"/>
  <c r="B53" i="2"/>
  <c r="C52" i="2"/>
  <c r="B5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B47" i="2"/>
  <c r="B46" i="2"/>
  <c r="B45" i="2"/>
  <c r="B44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C39" i="2"/>
  <c r="B39" i="2"/>
  <c r="C38" i="2"/>
  <c r="B38" i="2"/>
  <c r="C37" i="2"/>
  <c r="B37" i="2"/>
  <c r="C36" i="2"/>
  <c r="B36" i="2"/>
  <c r="C31" i="2"/>
  <c r="B31" i="2"/>
  <c r="C30" i="2"/>
  <c r="B30" i="2"/>
  <c r="C29" i="2"/>
  <c r="B29" i="2"/>
  <c r="C28" i="2"/>
  <c r="B28" i="2"/>
  <c r="B23" i="2"/>
  <c r="B2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C17" i="2"/>
  <c r="B17" i="2"/>
  <c r="C16" i="2"/>
  <c r="B16" i="2"/>
  <c r="C15" i="2"/>
  <c r="B15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Backend writes here: one row per train, columns A-G, starting row 2.
Do not touch columns H/I — they are formulas.</t>
        </r>
      </text>
    </comment>
  </commentList>
</comments>
</file>

<file path=xl/sharedStrings.xml><?xml version="1.0" encoding="utf-8"?>
<sst xmlns="http://schemas.openxmlformats.org/spreadsheetml/2006/main" count="111" uniqueCount="95">
  <si>
    <t>Train No</t>
  </si>
  <si>
    <t>Train Name</t>
  </si>
  <si>
    <t>Platform</t>
  </si>
  <si>
    <t>Scheduled Time</t>
  </si>
  <si>
    <t>Actual Time</t>
  </si>
  <si>
    <t>Delay (min)</t>
  </si>
  <si>
    <t>Traffic Density (%)</t>
  </si>
  <si>
    <t>Status</t>
  </si>
  <si>
    <t>Traffic Level</t>
  </si>
  <si>
    <t>Time of Day</t>
  </si>
  <si>
    <t>Delay Bucket</t>
  </si>
  <si>
    <t>12619</t>
  </si>
  <si>
    <t>Matsyagandha Express</t>
  </si>
  <si>
    <t>06:10</t>
  </si>
  <si>
    <t>06:14</t>
  </si>
  <si>
    <t>16536</t>
  </si>
  <si>
    <t>Gomantak Express</t>
  </si>
  <si>
    <t>07:25</t>
  </si>
  <si>
    <t>07:41</t>
  </si>
  <si>
    <t>12620</t>
  </si>
  <si>
    <t>09:05</t>
  </si>
  <si>
    <t>16515</t>
  </si>
  <si>
    <t>Yesvantpur Express</t>
  </si>
  <si>
    <t>10:40</t>
  </si>
  <si>
    <t>10:47</t>
  </si>
  <si>
    <t>17326</t>
  </si>
  <si>
    <t>Vasco Patna Express</t>
  </si>
  <si>
    <t>12:15</t>
  </si>
  <si>
    <t>12:38</t>
  </si>
  <si>
    <t>12977</t>
  </si>
  <si>
    <t>Intercity Express</t>
  </si>
  <si>
    <t>13:50</t>
  </si>
  <si>
    <t>14:03</t>
  </si>
  <si>
    <t>16345</t>
  </si>
  <si>
    <t>Netravati Express</t>
  </si>
  <si>
    <t>15:20</t>
  </si>
  <si>
    <t>15:22</t>
  </si>
  <si>
    <t>12134</t>
  </si>
  <si>
    <t>Mangala Express</t>
  </si>
  <si>
    <t>16:45</t>
  </si>
  <si>
    <t>16594</t>
  </si>
  <si>
    <t>Karwar Express</t>
  </si>
  <si>
    <t>18:10</t>
  </si>
  <si>
    <t>18:29</t>
  </si>
  <si>
    <t>17311</t>
  </si>
  <si>
    <t>Amaravati Express</t>
  </si>
  <si>
    <t>19:35</t>
  </si>
  <si>
    <t>19:41</t>
  </si>
  <si>
    <t>16597</t>
  </si>
  <si>
    <t>Vivek Express</t>
  </si>
  <si>
    <t>21:00</t>
  </si>
  <si>
    <t>12618</t>
  </si>
  <si>
    <t>Mangalore Mail</t>
  </si>
  <si>
    <t>22:30</t>
  </si>
  <si>
    <t>22:52</t>
  </si>
  <si>
    <t>Legend: Columns A-G (yellow) are written by the backend, one row per train. Columns H-K (Status, Traffic Level, Time of Day, Delay Bucket) are formulas that recalculate automatically — do not overwrite them. Backend should clear/replace rows 2+ in columns A-G only before writing new data.</t>
  </si>
  <si>
    <t>Delay Analysis Summary</t>
  </si>
  <si>
    <t>Key Metrics</t>
  </si>
  <si>
    <t>Total Trains Recorded</t>
  </si>
  <si>
    <t>Average Delay (min)</t>
  </si>
  <si>
    <t>Maximum Delay (min)</t>
  </si>
  <si>
    <t>Minimum Delay (min)</t>
  </si>
  <si>
    <t>On-Time Trains (≤ 5 min)</t>
  </si>
  <si>
    <t>Delayed Trains (&gt; 5 min)</t>
  </si>
  <si>
    <t>On-Time Percentage (%)</t>
  </si>
  <si>
    <t>Delay by Traffic Level</t>
  </si>
  <si>
    <t>Train Count</t>
  </si>
  <si>
    <t>Avg Delay (min)</t>
  </si>
  <si>
    <t>Low</t>
  </si>
  <si>
    <t>Medium</t>
  </si>
  <si>
    <t>High</t>
  </si>
  <si>
    <t>Train Status Split</t>
  </si>
  <si>
    <t>Count</t>
  </si>
  <si>
    <t>On Time</t>
  </si>
  <si>
    <t>Delayed</t>
  </si>
  <si>
    <t>Average Delay by Platform</t>
  </si>
  <si>
    <t>Average Delay by Time of Day</t>
  </si>
  <si>
    <t>Morning</t>
  </si>
  <si>
    <t>Afternoon</t>
  </si>
  <si>
    <t>Evening</t>
  </si>
  <si>
    <t>Night</t>
  </si>
  <si>
    <t>Delay Distribution</t>
  </si>
  <si>
    <t>0-5 min</t>
  </si>
  <si>
    <t>6-15 min</t>
  </si>
  <si>
    <t>16-25 min</t>
  </si>
  <si>
    <t>26+ min</t>
  </si>
  <si>
    <t>Top 5 Most Delayed Trains</t>
  </si>
  <si>
    <t>Rank</t>
  </si>
  <si>
    <t>Note: if two trains share an identical delay value, MATCH returns the first match only.</t>
  </si>
  <si>
    <t>Statistical Insight</t>
  </si>
  <si>
    <t>Correlation: Traffic Density vs Delay</t>
  </si>
  <si>
    <t>R² (coefficient of determination)</t>
  </si>
  <si>
    <t>Auto-Generated Summary</t>
  </si>
  <si>
    <t>MAQ Railway AI — Delay Analysis Dashboard</t>
  </si>
  <si>
    <t>Auto-updates when new rows are added to 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</si>
</sst>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b/>
      <sz val="16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D9E2F3"/>
        <bgColor rgb="FFD9D9D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4" borderId="1" xfId="0" applyFont="1" applyFill="1" applyBorder="1"/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2" fillId="4" borderId="1" xfId="0" applyFont="1" applyFill="1" applyBorder="1"/>
    <xf numFmtId="0" fontId="6" fillId="0" borderId="0" xfId="0" applyFont="1" applyBorder="1"/>
    <xf numFmtId="0" fontId="2" fillId="0" borderId="2" xfId="0" applyFont="1" applyBorder="1" applyAlignment="1">
      <alignment vertical="top" wrapText="1"/>
    </xf>
    <xf numFmtId="0" fontId="3" fillId="0" borderId="0" xfId="0" applyFont="1" applyBorder="1"/>
    <xf numFmtId="0" fontId="5" fillId="0" borderId="0" xfId="0" applyFont="1" applyBorder="1"/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9CC00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Delay by Traffic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Analysis!C14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Analysis!$C$15:$C$17</c:f>
              <c:numCache>
                <c:formatCode>0.0</c:formatCode>
                <c:ptCount val="3"/>
                <c:pt idx="0">
                  <c:v>0</c:v>
                </c:pt>
                <c:pt idx="1">
                  <c:v>4.75</c:v>
                </c:pt>
                <c:pt idx="2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7-0E46-9682-EE371EFFD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203"/>
        <c:axId val="39986137"/>
      </c:barChart>
      <c:catAx>
        <c:axId val="1262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Traffic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86137"/>
        <c:crosses val="autoZero"/>
        <c:auto val="1"/>
        <c:lblAlgn val="ctr"/>
        <c:lblOffset val="100"/>
        <c:noMultiLvlLbl val="0"/>
      </c:catAx>
      <c:valAx>
        <c:axId val="39986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On-Time vs Delayed Trains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Analysis!B21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Analysis!$A$22:$A$23</c:f>
              <c:strCache>
                <c:ptCount val="2"/>
                <c:pt idx="0">
                  <c:v>On Time</c:v>
                </c:pt>
                <c:pt idx="1">
                  <c:v>Delayed</c:v>
                </c:pt>
              </c:strCache>
            </c:strRef>
          </c:cat>
          <c:val>
            <c:numRef>
              <c:f>Analysis!$B$22:$B$23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E-B643-98B2-CF6C1FE2A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Delay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Analysis!C27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Analysis!$A$28:$A$31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Analysis!$C$28:$C$31</c:f>
              <c:numCache>
                <c:formatCode>0.0</c:formatCode>
                <c:ptCount val="4"/>
                <c:pt idx="0">
                  <c:v>5.75</c:v>
                </c:pt>
                <c:pt idx="1">
                  <c:v>6</c:v>
                </c:pt>
                <c:pt idx="2">
                  <c:v>9.6666666666666661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E-6C4E-8CA3-2C9D63AD8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42962"/>
        <c:axId val="44557632"/>
      </c:barChart>
      <c:catAx>
        <c:axId val="23442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57632"/>
        <c:crosses val="autoZero"/>
        <c:auto val="1"/>
        <c:lblAlgn val="ctr"/>
        <c:lblOffset val="100"/>
        <c:noMultiLvlLbl val="0"/>
      </c:catAx>
      <c:valAx>
        <c:axId val="44557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442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Delay Trend Across Trains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Raw_Data!F1</c:f>
              <c:strCache>
                <c:ptCount val="1"/>
                <c:pt idx="0">
                  <c:v>Delay (min)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Raw_Data!$A$2:$A$13</c:f>
              <c:strCache>
                <c:ptCount val="12"/>
                <c:pt idx="0">
                  <c:v>12619</c:v>
                </c:pt>
                <c:pt idx="1">
                  <c:v>16536</c:v>
                </c:pt>
                <c:pt idx="2">
                  <c:v>12620</c:v>
                </c:pt>
                <c:pt idx="3">
                  <c:v>16515</c:v>
                </c:pt>
                <c:pt idx="4">
                  <c:v>17326</c:v>
                </c:pt>
                <c:pt idx="5">
                  <c:v>12977</c:v>
                </c:pt>
                <c:pt idx="6">
                  <c:v>16345</c:v>
                </c:pt>
                <c:pt idx="7">
                  <c:v>12134</c:v>
                </c:pt>
                <c:pt idx="8">
                  <c:v>16594</c:v>
                </c:pt>
                <c:pt idx="9">
                  <c:v>17311</c:v>
                </c:pt>
                <c:pt idx="10">
                  <c:v>16597</c:v>
                </c:pt>
                <c:pt idx="11">
                  <c:v>12618</c:v>
                </c:pt>
              </c:strCache>
            </c:strRef>
          </c:cat>
          <c:val>
            <c:numRef>
              <c:f>Raw_Data!$F$2:$F$13</c:f>
              <c:numCache>
                <c:formatCode>General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0</c:v>
                </c:pt>
                <c:pt idx="3">
                  <c:v>7</c:v>
                </c:pt>
                <c:pt idx="4">
                  <c:v>23</c:v>
                </c:pt>
                <c:pt idx="5">
                  <c:v>13</c:v>
                </c:pt>
                <c:pt idx="6">
                  <c:v>2</c:v>
                </c:pt>
                <c:pt idx="7">
                  <c:v>0</c:v>
                </c:pt>
                <c:pt idx="8">
                  <c:v>19</c:v>
                </c:pt>
                <c:pt idx="9">
                  <c:v>6</c:v>
                </c:pt>
                <c:pt idx="10">
                  <c:v>0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01-B442-85FA-10F95B6C5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628289"/>
        <c:axId val="14604682"/>
      </c:lineChart>
      <c:catAx>
        <c:axId val="50628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Train 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04682"/>
        <c:crosses val="autoZero"/>
        <c:auto val="1"/>
        <c:lblAlgn val="ctr"/>
        <c:lblOffset val="100"/>
        <c:noMultiLvlLbl val="0"/>
      </c:catAx>
      <c:valAx>
        <c:axId val="14604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28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Traffic Density vs Delay (Correlation)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Raw_Data!F1</c:f>
              <c:strCache>
                <c:ptCount val="1"/>
                <c:pt idx="0">
                  <c:v>Delay (min)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Raw_Data!$G$2:$G$13</c:f>
              <c:numCache>
                <c:formatCode>General</c:formatCode>
                <c:ptCount val="12"/>
                <c:pt idx="0">
                  <c:v>42</c:v>
                </c:pt>
                <c:pt idx="1">
                  <c:v>78</c:v>
                </c:pt>
                <c:pt idx="2">
                  <c:v>20</c:v>
                </c:pt>
                <c:pt idx="3">
                  <c:v>55</c:v>
                </c:pt>
                <c:pt idx="4">
                  <c:v>91</c:v>
                </c:pt>
                <c:pt idx="5">
                  <c:v>88</c:v>
                </c:pt>
                <c:pt idx="6">
                  <c:v>35</c:v>
                </c:pt>
                <c:pt idx="7">
                  <c:v>18</c:v>
                </c:pt>
                <c:pt idx="8">
                  <c:v>82</c:v>
                </c:pt>
                <c:pt idx="9">
                  <c:v>60</c:v>
                </c:pt>
                <c:pt idx="10">
                  <c:v>25</c:v>
                </c:pt>
                <c:pt idx="11">
                  <c:v>95</c:v>
                </c:pt>
              </c:numCache>
            </c:numRef>
          </c:xVal>
          <c:yVal>
            <c:numRef>
              <c:f>Raw_Data!$F$2:$F$13</c:f>
              <c:numCache>
                <c:formatCode>General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0</c:v>
                </c:pt>
                <c:pt idx="3">
                  <c:v>7</c:v>
                </c:pt>
                <c:pt idx="4">
                  <c:v>23</c:v>
                </c:pt>
                <c:pt idx="5">
                  <c:v>13</c:v>
                </c:pt>
                <c:pt idx="6">
                  <c:v>2</c:v>
                </c:pt>
                <c:pt idx="7">
                  <c:v>0</c:v>
                </c:pt>
                <c:pt idx="8">
                  <c:v>19</c:v>
                </c:pt>
                <c:pt idx="9">
                  <c:v>6</c:v>
                </c:pt>
                <c:pt idx="10">
                  <c:v>0</c:v>
                </c:pt>
                <c:pt idx="11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60-5245-9981-25CE0DC34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2379"/>
        <c:axId val="64822059"/>
      </c:scatterChart>
      <c:valAx>
        <c:axId val="599623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Traffic Density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22059"/>
        <c:crosses val="autoZero"/>
        <c:crossBetween val="midCat"/>
      </c:valAx>
      <c:valAx>
        <c:axId val="64822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623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Delay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Analysis!C35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Analysis!$A$36:$A$39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Analysis!$C$36:$C$39</c:f>
              <c:numCache>
                <c:formatCode>0.0</c:formatCode>
                <c:ptCount val="4"/>
                <c:pt idx="0">
                  <c:v>6.75</c:v>
                </c:pt>
                <c:pt idx="1">
                  <c:v>9.5</c:v>
                </c:pt>
                <c:pt idx="2">
                  <c:v>12.5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3-D244-BD18-3080E050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25167"/>
        <c:axId val="23050027"/>
      </c:barChart>
      <c:catAx>
        <c:axId val="70025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Time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50027"/>
        <c:crosses val="autoZero"/>
        <c:auto val="1"/>
        <c:lblAlgn val="ctr"/>
        <c:lblOffset val="100"/>
        <c:noMultiLvlLbl val="0"/>
      </c:catAx>
      <c:valAx>
        <c:axId val="23050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Avg 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25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Delay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Analysis!B43</c:f>
              <c:strCache>
                <c:ptCount val="1"/>
                <c:pt idx="0">
                  <c:v>Train Count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0-5 min</c:v>
                </c:pt>
                <c:pt idx="1">
                  <c:v>6-15 min</c:v>
                </c:pt>
                <c:pt idx="2">
                  <c:v>16-25 min</c:v>
                </c:pt>
                <c:pt idx="3">
                  <c:v>26+ min</c:v>
                </c:pt>
              </c:strCache>
            </c:strRef>
          </c:cat>
          <c:val>
            <c:numRef>
              <c:f>Analysis!$B$44:$B$47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C-8B46-BDF7-9ABAF7BC4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105"/>
        <c:axId val="45183487"/>
      </c:barChart>
      <c:catAx>
        <c:axId val="238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Delay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183487"/>
        <c:crosses val="autoZero"/>
        <c:auto val="1"/>
        <c:lblAlgn val="ctr"/>
        <c:lblOffset val="100"/>
        <c:noMultiLvlLbl val="0"/>
      </c:catAx>
      <c:valAx>
        <c:axId val="45183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Number of Trains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5 Most Delayed Trains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Analysis!C51</c:f>
              <c:strCache>
                <c:ptCount val="1"/>
                <c:pt idx="0">
                  <c:v>Delay (min)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Analysis!$B$52:$B$56</c:f>
              <c:strCache>
                <c:ptCount val="5"/>
                <c:pt idx="0">
                  <c:v>Vasco Patna Express</c:v>
                </c:pt>
                <c:pt idx="1">
                  <c:v>Mangalore Mail</c:v>
                </c:pt>
                <c:pt idx="2">
                  <c:v>Karwar Express</c:v>
                </c:pt>
                <c:pt idx="3">
                  <c:v>Gomantak Express</c:v>
                </c:pt>
                <c:pt idx="4">
                  <c:v>Intercity Express</c:v>
                </c:pt>
              </c:strCache>
            </c:strRef>
          </c:cat>
          <c:val>
            <c:numRef>
              <c:f>Analysis!$C$52:$C$56</c:f>
              <c:numCache>
                <c:formatCode>General</c:formatCode>
                <c:ptCount val="5"/>
                <c:pt idx="0">
                  <c:v>23</c:v>
                </c:pt>
                <c:pt idx="1">
                  <c:v>22</c:v>
                </c:pt>
                <c:pt idx="2">
                  <c:v>19</c:v>
                </c:pt>
                <c:pt idx="3">
                  <c:v>16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F-A549-A667-423FBD03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02585"/>
        <c:axId val="83307399"/>
      </c:barChart>
      <c:catAx>
        <c:axId val="907025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Delay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307399"/>
        <c:crosses val="autoZero"/>
        <c:auto val="1"/>
        <c:lblAlgn val="ctr"/>
        <c:lblOffset val="100"/>
        <c:noMultiLvlLbl val="0"/>
      </c:catAx>
      <c:valAx>
        <c:axId val="833073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02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 /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5</xdr:col>
      <xdr:colOff>105840</xdr:colOff>
      <xdr:row>17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159988</xdr:rowOff>
    </xdr:from>
    <xdr:to>
      <xdr:col>5</xdr:col>
      <xdr:colOff>105840</xdr:colOff>
      <xdr:row>32</xdr:row>
      <xdr:rowOff>182308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</xdr:row>
      <xdr:rowOff>131040</xdr:rowOff>
    </xdr:from>
    <xdr:to>
      <xdr:col>16</xdr:col>
      <xdr:colOff>147600</xdr:colOff>
      <xdr:row>17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19</xdr:row>
      <xdr:rowOff>130680</xdr:rowOff>
    </xdr:from>
    <xdr:to>
      <xdr:col>16</xdr:col>
      <xdr:colOff>147600</xdr:colOff>
      <xdr:row>34</xdr:row>
      <xdr:rowOff>153000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130680</xdr:rowOff>
    </xdr:from>
    <xdr:to>
      <xdr:col>5</xdr:col>
      <xdr:colOff>105840</xdr:colOff>
      <xdr:row>51</xdr:row>
      <xdr:rowOff>153000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36</xdr:row>
      <xdr:rowOff>130680</xdr:rowOff>
    </xdr:from>
    <xdr:to>
      <xdr:col>16</xdr:col>
      <xdr:colOff>147600</xdr:colOff>
      <xdr:row>51</xdr:row>
      <xdr:rowOff>153000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130680</xdr:rowOff>
    </xdr:from>
    <xdr:to>
      <xdr:col>5</xdr:col>
      <xdr:colOff>105840</xdr:colOff>
      <xdr:row>68</xdr:row>
      <xdr:rowOff>153000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53</xdr:row>
      <xdr:rowOff>130680</xdr:rowOff>
    </xdr:from>
    <xdr:to>
      <xdr:col>16</xdr:col>
      <xdr:colOff>147600</xdr:colOff>
      <xdr:row>68</xdr:row>
      <xdr:rowOff>153000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"/>
  <sheetViews>
    <sheetView topLeftCell="F1" zoomScaleNormal="100" workbookViewId="0">
      <pane ySplit="1" topLeftCell="F2" activePane="bottomLeft" state="frozen"/>
      <selection activeCell="F1" sqref="F1"/>
      <selection pane="bottomLeft" activeCell="D20" sqref="D20"/>
    </sheetView>
  </sheetViews>
  <sheetFormatPr defaultColWidth="8.7421875" defaultRowHeight="15" x14ac:dyDescent="0.2"/>
  <cols>
    <col min="1" max="1" width="9.953125" customWidth="1"/>
    <col min="2" max="2" width="22.05859375" customWidth="1"/>
    <col min="3" max="3" width="9.953125" customWidth="1"/>
    <col min="4" max="4" width="13.98828125" customWidth="1"/>
    <col min="5" max="6" width="11.97265625" customWidth="1"/>
    <col min="7" max="7" width="16.0078125" customWidth="1"/>
    <col min="8" max="9" width="11.97265625" customWidth="1"/>
    <col min="10" max="11" width="13.046875" customWidth="1"/>
  </cols>
  <sheetData>
    <row r="1" spans="1:11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</v>
      </c>
      <c r="D2" s="2" t="s">
        <v>13</v>
      </c>
      <c r="E2" s="2" t="s">
        <v>14</v>
      </c>
      <c r="F2" s="2">
        <v>4</v>
      </c>
      <c r="G2" s="2">
        <v>42</v>
      </c>
      <c r="H2" s="3" t="str">
        <f>IF(F2="","",IF(F2&lt;=5,"On Time","Delayed"))</f>
        <v>On Time</v>
      </c>
      <c r="I2" s="3" t="str">
        <f>IF(G2="","",IF(G2&lt;30,"Low",IF(G2&lt;70,"Medium","High")))</f>
        <v>Medium</v>
      </c>
      <c r="J2" s="3" t="str">
        <f>IF(D2="","",IF(VALUE(LEFT(D2,2))&lt;6,"Night",IF(VALUE(LEFT(D2,2))&lt;12,"Morning",IF(VALUE(LEFT(D2,2))&lt;17,"Afternoon",IF(VALUE(LEFT(D2,2))&lt;21,"Evening","Night")))))</f>
        <v>Morning</v>
      </c>
      <c r="K2" s="3" t="str">
        <f>IF(F2="","",IF(F2&lt;=5,"0-5 min",IF(F2&lt;=15,"6-15 min",IF(F2&lt;=25,"16-25 min","26+ min"))))</f>
        <v>0-5 min</v>
      </c>
    </row>
    <row r="3" spans="1:11" x14ac:dyDescent="0.2">
      <c r="A3" s="2" t="s">
        <v>15</v>
      </c>
      <c r="B3" s="2" t="s">
        <v>16</v>
      </c>
      <c r="C3" s="2">
        <v>2</v>
      </c>
      <c r="D3" s="2" t="s">
        <v>17</v>
      </c>
      <c r="E3" s="2" t="s">
        <v>18</v>
      </c>
      <c r="F3" s="2">
        <v>16</v>
      </c>
      <c r="G3" s="2">
        <v>78</v>
      </c>
      <c r="H3" s="3" t="str">
        <f>IF(F3="","",IF(F3&lt;=5,"On Time","Delayed"))</f>
        <v>Delayed</v>
      </c>
      <c r="I3" s="3" t="str">
        <f>IF(G3="","",IF(G3&lt;30,"Low",IF(G3&lt;70,"Medium","High")))</f>
        <v>High</v>
      </c>
      <c r="J3" s="3" t="str">
        <f>IF(D3="","",IF(VALUE(LEFT(D3,2))&lt;6,"Night",IF(VALUE(LEFT(D3,2))&lt;12,"Morning",IF(VALUE(LEFT(D3,2))&lt;17,"Afternoon",IF(VALUE(LEFT(D3,2))&lt;21,"Evening","Night")))))</f>
        <v>Morning</v>
      </c>
      <c r="K3" s="3" t="str">
        <f>IF(F3="","",IF(F3&lt;=5,"0-5 min",IF(F3&lt;=15,"6-15 min",IF(F3&lt;=25,"16-25 min","26+ min"))))</f>
        <v>16-25 min</v>
      </c>
    </row>
    <row r="4" spans="1:11" x14ac:dyDescent="0.2">
      <c r="A4" s="2" t="s">
        <v>19</v>
      </c>
      <c r="B4" s="2" t="s">
        <v>12</v>
      </c>
      <c r="C4" s="2">
        <v>1</v>
      </c>
      <c r="D4" s="2" t="s">
        <v>20</v>
      </c>
      <c r="E4" s="2" t="s">
        <v>20</v>
      </c>
      <c r="F4" s="2">
        <v>0</v>
      </c>
      <c r="G4" s="2">
        <v>20</v>
      </c>
      <c r="H4" s="3" t="str">
        <f>IF(F4="","",IF(F4&lt;=5,"On Time","Delayed"))</f>
        <v>On Time</v>
      </c>
      <c r="I4" s="3" t="str">
        <f>IF(G4="","",IF(G4&lt;30,"Low",IF(G4&lt;70,"Medium","High")))</f>
        <v>Low</v>
      </c>
      <c r="J4" s="3" t="str">
        <f>IF(D4="","",IF(VALUE(LEFT(D4,2))&lt;6,"Night",IF(VALUE(LEFT(D4,2))&lt;12,"Morning",IF(VALUE(LEFT(D4,2))&lt;17,"Afternoon",IF(VALUE(LEFT(D4,2))&lt;21,"Evening","Night")))))</f>
        <v>Morning</v>
      </c>
      <c r="K4" s="3" t="str">
        <f>IF(F4="","",IF(F4&lt;=5,"0-5 min",IF(F4&lt;=15,"6-15 min",IF(F4&lt;=25,"16-25 min","26+ min"))))</f>
        <v>0-5 min</v>
      </c>
    </row>
    <row r="5" spans="1:11" x14ac:dyDescent="0.2">
      <c r="A5" s="2" t="s">
        <v>21</v>
      </c>
      <c r="B5" s="2" t="s">
        <v>22</v>
      </c>
      <c r="C5" s="2">
        <v>3</v>
      </c>
      <c r="D5" s="2" t="s">
        <v>23</v>
      </c>
      <c r="E5" s="2" t="s">
        <v>24</v>
      </c>
      <c r="F5" s="2">
        <v>7</v>
      </c>
      <c r="G5" s="2">
        <v>55</v>
      </c>
      <c r="H5" s="3" t="str">
        <f>IF(F5="","",IF(F5&lt;=5,"On Time","Delayed"))</f>
        <v>Delayed</v>
      </c>
      <c r="I5" s="3" t="str">
        <f>IF(G5="","",IF(G5&lt;30,"Low",IF(G5&lt;70,"Medium","High")))</f>
        <v>Medium</v>
      </c>
      <c r="J5" s="3" t="str">
        <f>IF(D5="","",IF(VALUE(LEFT(D5,2))&lt;6,"Night",IF(VALUE(LEFT(D5,2))&lt;12,"Morning",IF(VALUE(LEFT(D5,2))&lt;17,"Afternoon",IF(VALUE(LEFT(D5,2))&lt;21,"Evening","Night")))))</f>
        <v>Morning</v>
      </c>
      <c r="K5" s="3" t="str">
        <f>IF(F5="","",IF(F5&lt;=5,"0-5 min",IF(F5&lt;=15,"6-15 min",IF(F5&lt;=25,"16-25 min","26+ min"))))</f>
        <v>6-15 min</v>
      </c>
    </row>
    <row r="6" spans="1:11" x14ac:dyDescent="0.2">
      <c r="A6" s="2" t="s">
        <v>25</v>
      </c>
      <c r="B6" s="2" t="s">
        <v>26</v>
      </c>
      <c r="C6" s="2">
        <v>4</v>
      </c>
      <c r="D6" s="2" t="s">
        <v>27</v>
      </c>
      <c r="E6" s="2" t="s">
        <v>28</v>
      </c>
      <c r="F6" s="2">
        <v>23</v>
      </c>
      <c r="G6" s="2">
        <v>91</v>
      </c>
      <c r="H6" s="3" t="str">
        <f>IF(F6="","",IF(F6&lt;=5,"On Time","Delayed"))</f>
        <v>Delayed</v>
      </c>
      <c r="I6" s="3" t="str">
        <f>IF(G6="","",IF(G6&lt;30,"Low",IF(G6&lt;70,"Medium","High")))</f>
        <v>High</v>
      </c>
      <c r="J6" s="3" t="str">
        <f>IF(D6="","",IF(VALUE(LEFT(D6,2))&lt;6,"Night",IF(VALUE(LEFT(D6,2))&lt;12,"Morning",IF(VALUE(LEFT(D6,2))&lt;17,"Afternoon",IF(VALUE(LEFT(D6,2))&lt;21,"Evening","Night")))))</f>
        <v>Afternoon</v>
      </c>
      <c r="K6" s="3" t="str">
        <f>IF(F6="","",IF(F6&lt;=5,"0-5 min",IF(F6&lt;=15,"6-15 min",IF(F6&lt;=25,"16-25 min","26+ min"))))</f>
        <v>16-25 min</v>
      </c>
    </row>
    <row r="7" spans="1:11" x14ac:dyDescent="0.2">
      <c r="A7" s="2" t="s">
        <v>29</v>
      </c>
      <c r="B7" s="2" t="s">
        <v>30</v>
      </c>
      <c r="C7" s="2">
        <v>1</v>
      </c>
      <c r="D7" s="2" t="s">
        <v>31</v>
      </c>
      <c r="E7" s="2" t="s">
        <v>32</v>
      </c>
      <c r="F7" s="2">
        <v>13</v>
      </c>
      <c r="G7" s="2">
        <v>88</v>
      </c>
      <c r="H7" s="3" t="str">
        <f>IF(F7="","",IF(F7&lt;=5,"On Time","Delayed"))</f>
        <v>Delayed</v>
      </c>
      <c r="I7" s="3" t="str">
        <f>IF(G7="","",IF(G7&lt;30,"Low",IF(G7&lt;70,"Medium","High")))</f>
        <v>High</v>
      </c>
      <c r="J7" s="3" t="str">
        <f>IF(D7="","",IF(VALUE(LEFT(D7,2))&lt;6,"Night",IF(VALUE(LEFT(D7,2))&lt;12,"Morning",IF(VALUE(LEFT(D7,2))&lt;17,"Afternoon",IF(VALUE(LEFT(D7,2))&lt;21,"Evening","Night")))))</f>
        <v>Afternoon</v>
      </c>
      <c r="K7" s="3" t="str">
        <f>IF(F7="","",IF(F7&lt;=5,"0-5 min",IF(F7&lt;=15,"6-15 min",IF(F7&lt;=25,"16-25 min","26+ min"))))</f>
        <v>6-15 min</v>
      </c>
    </row>
    <row r="8" spans="1:11" x14ac:dyDescent="0.2">
      <c r="A8" s="2" t="s">
        <v>33</v>
      </c>
      <c r="B8" s="2" t="s">
        <v>34</v>
      </c>
      <c r="C8" s="2">
        <v>2</v>
      </c>
      <c r="D8" s="2" t="s">
        <v>35</v>
      </c>
      <c r="E8" s="2" t="s">
        <v>36</v>
      </c>
      <c r="F8" s="2">
        <v>2</v>
      </c>
      <c r="G8" s="2">
        <v>35</v>
      </c>
      <c r="H8" s="3" t="str">
        <f>IF(F8="","",IF(F8&lt;=5,"On Time","Delayed"))</f>
        <v>On Time</v>
      </c>
      <c r="I8" s="3" t="str">
        <f>IF(G8="","",IF(G8&lt;30,"Low",IF(G8&lt;70,"Medium","High")))</f>
        <v>Medium</v>
      </c>
      <c r="J8" s="3" t="str">
        <f>IF(D8="","",IF(VALUE(LEFT(D8,2))&lt;6,"Night",IF(VALUE(LEFT(D8,2))&lt;12,"Morning",IF(VALUE(LEFT(D8,2))&lt;17,"Afternoon",IF(VALUE(LEFT(D8,2))&lt;21,"Evening","Night")))))</f>
        <v>Afternoon</v>
      </c>
      <c r="K8" s="3" t="str">
        <f>IF(F8="","",IF(F8&lt;=5,"0-5 min",IF(F8&lt;=15,"6-15 min",IF(F8&lt;=25,"16-25 min","26+ min"))))</f>
        <v>0-5 min</v>
      </c>
    </row>
    <row r="9" spans="1:11" x14ac:dyDescent="0.2">
      <c r="A9" s="2" t="s">
        <v>37</v>
      </c>
      <c r="B9" s="2" t="s">
        <v>38</v>
      </c>
      <c r="C9" s="2">
        <v>3</v>
      </c>
      <c r="D9" s="2" t="s">
        <v>39</v>
      </c>
      <c r="E9" s="2" t="s">
        <v>39</v>
      </c>
      <c r="F9" s="2">
        <v>0</v>
      </c>
      <c r="G9" s="2">
        <v>18</v>
      </c>
      <c r="H9" s="3" t="str">
        <f>IF(F9="","",IF(F9&lt;=5,"On Time","Delayed"))</f>
        <v>On Time</v>
      </c>
      <c r="I9" s="3" t="str">
        <f>IF(G9="","",IF(G9&lt;30,"Low",IF(G9&lt;70,"Medium","High")))</f>
        <v>Low</v>
      </c>
      <c r="J9" s="3" t="str">
        <f>IF(D9="","",IF(VALUE(LEFT(D9,2))&lt;6,"Night",IF(VALUE(LEFT(D9,2))&lt;12,"Morning",IF(VALUE(LEFT(D9,2))&lt;17,"Afternoon",IF(VALUE(LEFT(D9,2))&lt;21,"Evening","Night")))))</f>
        <v>Afternoon</v>
      </c>
      <c r="K9" s="3" t="str">
        <f>IF(F9="","",IF(F9&lt;=5,"0-5 min",IF(F9&lt;=15,"6-15 min",IF(F9&lt;=25,"16-25 min","26+ min"))))</f>
        <v>0-5 min</v>
      </c>
    </row>
    <row r="10" spans="1:11" x14ac:dyDescent="0.2">
      <c r="A10" s="2" t="s">
        <v>40</v>
      </c>
      <c r="B10" s="2" t="s">
        <v>41</v>
      </c>
      <c r="C10" s="2">
        <v>4</v>
      </c>
      <c r="D10" s="2" t="s">
        <v>42</v>
      </c>
      <c r="E10" s="2" t="s">
        <v>43</v>
      </c>
      <c r="F10" s="2">
        <v>19</v>
      </c>
      <c r="G10" s="2">
        <v>82</v>
      </c>
      <c r="H10" s="3" t="str">
        <f>IF(F10="","",IF(F10&lt;=5,"On Time","Delayed"))</f>
        <v>Delayed</v>
      </c>
      <c r="I10" s="3" t="str">
        <f>IF(G10="","",IF(G10&lt;30,"Low",IF(G10&lt;70,"Medium","High")))</f>
        <v>High</v>
      </c>
      <c r="J10" s="3" t="str">
        <f>IF(D10="","",IF(VALUE(LEFT(D10,2))&lt;6,"Night",IF(VALUE(LEFT(D10,2))&lt;12,"Morning",IF(VALUE(LEFT(D10,2))&lt;17,"Afternoon",IF(VALUE(LEFT(D10,2))&lt;21,"Evening","Night")))))</f>
        <v>Evening</v>
      </c>
      <c r="K10" s="3" t="str">
        <f>IF(F10="","",IF(F10&lt;=5,"0-5 min",IF(F10&lt;=15,"6-15 min",IF(F10&lt;=25,"16-25 min","26+ min"))))</f>
        <v>16-25 min</v>
      </c>
    </row>
    <row r="11" spans="1:11" x14ac:dyDescent="0.2">
      <c r="A11" s="2" t="s">
        <v>44</v>
      </c>
      <c r="B11" s="2" t="s">
        <v>45</v>
      </c>
      <c r="C11" s="2">
        <v>1</v>
      </c>
      <c r="D11" s="2" t="s">
        <v>46</v>
      </c>
      <c r="E11" s="2" t="s">
        <v>47</v>
      </c>
      <c r="F11" s="2">
        <v>6</v>
      </c>
      <c r="G11" s="2">
        <v>60</v>
      </c>
      <c r="H11" s="3" t="str">
        <f>IF(F11="","",IF(F11&lt;=5,"On Time","Delayed"))</f>
        <v>Delayed</v>
      </c>
      <c r="I11" s="3" t="str">
        <f>IF(G11="","",IF(G11&lt;30,"Low",IF(G11&lt;70,"Medium","High")))</f>
        <v>Medium</v>
      </c>
      <c r="J11" s="3" t="str">
        <f>IF(D11="","",IF(VALUE(LEFT(D11,2))&lt;6,"Night",IF(VALUE(LEFT(D11,2))&lt;12,"Morning",IF(VALUE(LEFT(D11,2))&lt;17,"Afternoon",IF(VALUE(LEFT(D11,2))&lt;21,"Evening","Night")))))</f>
        <v>Evening</v>
      </c>
      <c r="K11" s="3" t="str">
        <f>IF(F11="","",IF(F11&lt;=5,"0-5 min",IF(F11&lt;=15,"6-15 min",IF(F11&lt;=25,"16-25 min","26+ min"))))</f>
        <v>6-15 min</v>
      </c>
    </row>
    <row r="12" spans="1:11" x14ac:dyDescent="0.2">
      <c r="A12" s="2" t="s">
        <v>48</v>
      </c>
      <c r="B12" s="2" t="s">
        <v>49</v>
      </c>
      <c r="C12" s="2">
        <v>2</v>
      </c>
      <c r="D12" s="2" t="s">
        <v>50</v>
      </c>
      <c r="E12" s="2" t="s">
        <v>50</v>
      </c>
      <c r="F12" s="2">
        <v>0</v>
      </c>
      <c r="G12" s="2">
        <v>25</v>
      </c>
      <c r="H12" s="3" t="str">
        <f>IF(F12="","",IF(F12&lt;=5,"On Time","Delayed"))</f>
        <v>On Time</v>
      </c>
      <c r="I12" s="3" t="str">
        <f>IF(G12="","",IF(G12&lt;30,"Low",IF(G12&lt;70,"Medium","High")))</f>
        <v>Low</v>
      </c>
      <c r="J12" s="3" t="str">
        <f>IF(D12="","",IF(VALUE(LEFT(D12,2))&lt;6,"Night",IF(VALUE(LEFT(D12,2))&lt;12,"Morning",IF(VALUE(LEFT(D12,2))&lt;17,"Afternoon",IF(VALUE(LEFT(D12,2))&lt;21,"Evening","Night")))))</f>
        <v>Night</v>
      </c>
      <c r="K12" s="3" t="str">
        <f>IF(F12="","",IF(F12&lt;=5,"0-5 min",IF(F12&lt;=15,"6-15 min",IF(F12&lt;=25,"16-25 min","26+ min"))))</f>
        <v>0-5 min</v>
      </c>
    </row>
    <row r="13" spans="1:11" x14ac:dyDescent="0.2">
      <c r="A13" s="2" t="s">
        <v>51</v>
      </c>
      <c r="B13" s="2" t="s">
        <v>52</v>
      </c>
      <c r="C13" s="2">
        <v>3</v>
      </c>
      <c r="D13" s="2" t="s">
        <v>53</v>
      </c>
      <c r="E13" s="2" t="s">
        <v>54</v>
      </c>
      <c r="F13" s="2">
        <v>22</v>
      </c>
      <c r="G13" s="2">
        <v>95</v>
      </c>
      <c r="H13" s="3" t="str">
        <f>IF(F13="","",IF(F13&lt;=5,"On Time","Delayed"))</f>
        <v>Delayed</v>
      </c>
      <c r="I13" s="3" t="str">
        <f>IF(G13="","",IF(G13&lt;30,"Low",IF(G13&lt;70,"Medium","High")))</f>
        <v>High</v>
      </c>
      <c r="J13" s="3" t="str">
        <f>IF(D13="","",IF(VALUE(LEFT(D13,2))&lt;6,"Night",IF(VALUE(LEFT(D13,2))&lt;12,"Morning",IF(VALUE(LEFT(D13,2))&lt;17,"Afternoon",IF(VALUE(LEFT(D13,2))&lt;21,"Evening","Night")))))</f>
        <v>Night</v>
      </c>
      <c r="K13" s="3" t="str">
        <f>IF(F13="","",IF(F13&lt;=5,"0-5 min",IF(F13&lt;=15,"6-15 min",IF(F13&lt;=25,"16-25 min","26+ min"))))</f>
        <v>16-25 min</v>
      </c>
    </row>
    <row r="14" spans="1:11" x14ac:dyDescent="0.2">
      <c r="H14" s="3" t="str">
        <f>IF(F14="","",IF(F14&lt;=5,"On Time","Delayed"))</f>
        <v/>
      </c>
      <c r="I14" s="3" t="str">
        <f>IF(G14="","",IF(G14&lt;30,"Low",IF(G14&lt;70,"Medium","High")))</f>
        <v/>
      </c>
      <c r="J14" s="3" t="str">
        <f>IF(D14="","",IF(VALUE(LEFT(D14,2))&lt;6,"Night",IF(VALUE(LEFT(D14,2))&lt;12,"Morning",IF(VALUE(LEFT(D14,2))&lt;17,"Afternoon",IF(VALUE(LEFT(D14,2))&lt;21,"Evening","Night")))))</f>
        <v/>
      </c>
      <c r="K14" s="3" t="str">
        <f>IF(F14="","",IF(F14&lt;=5,"0-5 min",IF(F14&lt;=15,"6-15 min",IF(F14&lt;=25,"16-25 min","26+ min"))))</f>
        <v/>
      </c>
    </row>
    <row r="15" spans="1:11" x14ac:dyDescent="0.2">
      <c r="H15" s="3" t="str">
        <f>IF(F15="","",IF(F15&lt;=5,"On Time","Delayed"))</f>
        <v/>
      </c>
      <c r="I15" s="3" t="str">
        <f>IF(G15="","",IF(G15&lt;30,"Low",IF(G15&lt;70,"Medium","High")))</f>
        <v/>
      </c>
      <c r="J15" s="3" t="str">
        <f>IF(D15="","",IF(VALUE(LEFT(D15,2))&lt;6,"Night",IF(VALUE(LEFT(D15,2))&lt;12,"Morning",IF(VALUE(LEFT(D15,2))&lt;17,"Afternoon",IF(VALUE(LEFT(D15,2))&lt;21,"Evening","Night")))))</f>
        <v/>
      </c>
      <c r="K15" s="3" t="str">
        <f>IF(F15="","",IF(F15&lt;=5,"0-5 min",IF(F15&lt;=15,"6-15 min",IF(F15&lt;=25,"16-25 min","26+ min"))))</f>
        <v/>
      </c>
    </row>
    <row r="16" spans="1:11" x14ac:dyDescent="0.2">
      <c r="H16" s="3" t="str">
        <f>IF(F16="","",IF(F16&lt;=5,"On Time","Delayed"))</f>
        <v/>
      </c>
      <c r="I16" s="3" t="str">
        <f>IF(G16="","",IF(G16&lt;30,"Low",IF(G16&lt;70,"Medium","High")))</f>
        <v/>
      </c>
      <c r="J16" s="3" t="str">
        <f>IF(D16="","",IF(VALUE(LEFT(D16,2))&lt;6,"Night",IF(VALUE(LEFT(D16,2))&lt;12,"Morning",IF(VALUE(LEFT(D16,2))&lt;17,"Afternoon",IF(VALUE(LEFT(D16,2))&lt;21,"Evening","Night")))))</f>
        <v/>
      </c>
      <c r="K16" s="3" t="str">
        <f>IF(F16="","",IF(F16&lt;=5,"0-5 min",IF(F16&lt;=15,"6-15 min",IF(F16&lt;=25,"16-25 min","26+ min"))))</f>
        <v/>
      </c>
    </row>
    <row r="17" spans="8:11" x14ac:dyDescent="0.2">
      <c r="H17" s="3" t="str">
        <f>IF(F17="","",IF(F17&lt;=5,"On Time","Delayed"))</f>
        <v/>
      </c>
      <c r="I17" s="3" t="str">
        <f>IF(G17="","",IF(G17&lt;30,"Low",IF(G17&lt;70,"Medium","High")))</f>
        <v/>
      </c>
      <c r="J17" s="3" t="str">
        <f>IF(D17="","",IF(VALUE(LEFT(D17,2))&lt;6,"Night",IF(VALUE(LEFT(D17,2))&lt;12,"Morning",IF(VALUE(LEFT(D17,2))&lt;17,"Afternoon",IF(VALUE(LEFT(D17,2))&lt;21,"Evening","Night")))))</f>
        <v/>
      </c>
      <c r="K17" s="3" t="str">
        <f>IF(F17="","",IF(F17&lt;=5,"0-5 min",IF(F17&lt;=15,"6-15 min",IF(F17&lt;=25,"16-25 min","26+ min"))))</f>
        <v/>
      </c>
    </row>
    <row r="18" spans="8:11" x14ac:dyDescent="0.2">
      <c r="H18" s="3" t="str">
        <f>IF(F18="","",IF(F18&lt;=5,"On Time","Delayed"))</f>
        <v/>
      </c>
      <c r="I18" s="3" t="str">
        <f>IF(G18="","",IF(G18&lt;30,"Low",IF(G18&lt;70,"Medium","High")))</f>
        <v/>
      </c>
      <c r="J18" s="3" t="str">
        <f>IF(D18="","",IF(VALUE(LEFT(D18,2))&lt;6,"Night",IF(VALUE(LEFT(D18,2))&lt;12,"Morning",IF(VALUE(LEFT(D18,2))&lt;17,"Afternoon",IF(VALUE(LEFT(D18,2))&lt;21,"Evening","Night")))))</f>
        <v/>
      </c>
      <c r="K18" s="3" t="str">
        <f>IF(F18="","",IF(F18&lt;=5,"0-5 min",IF(F18&lt;=15,"6-15 min",IF(F18&lt;=25,"16-25 min","26+ min"))))</f>
        <v/>
      </c>
    </row>
    <row r="19" spans="8:11" x14ac:dyDescent="0.2">
      <c r="H19" s="3" t="str">
        <f>IF(F19="","",IF(F19&lt;=5,"On Time","Delayed"))</f>
        <v/>
      </c>
      <c r="I19" s="3" t="str">
        <f>IF(G19="","",IF(G19&lt;30,"Low",IF(G19&lt;70,"Medium","High")))</f>
        <v/>
      </c>
      <c r="J19" s="3" t="str">
        <f>IF(D19="","",IF(VALUE(LEFT(D19,2))&lt;6,"Night",IF(VALUE(LEFT(D19,2))&lt;12,"Morning",IF(VALUE(LEFT(D19,2))&lt;17,"Afternoon",IF(VALUE(LEFT(D19,2))&lt;21,"Evening","Night")))))</f>
        <v/>
      </c>
      <c r="K19" s="3" t="str">
        <f>IF(F19="","",IF(F19&lt;=5,"0-5 min",IF(F19&lt;=15,"6-15 min",IF(F19&lt;=25,"16-25 min","26+ min"))))</f>
        <v/>
      </c>
    </row>
    <row r="20" spans="8:11" x14ac:dyDescent="0.2">
      <c r="H20" s="3" t="str">
        <f>IF(F20="","",IF(F20&lt;=5,"On Time","Delayed"))</f>
        <v/>
      </c>
      <c r="I20" s="3" t="str">
        <f>IF(G20="","",IF(G20&lt;30,"Low",IF(G20&lt;70,"Medium","High")))</f>
        <v/>
      </c>
      <c r="J20" s="3" t="str">
        <f>IF(D20="","",IF(VALUE(LEFT(D20,2))&lt;6,"Night",IF(VALUE(LEFT(D20,2))&lt;12,"Morning",IF(VALUE(LEFT(D20,2))&lt;17,"Afternoon",IF(VALUE(LEFT(D20,2))&lt;21,"Evening","Night")))))</f>
        <v/>
      </c>
      <c r="K20" s="3" t="str">
        <f>IF(F20="","",IF(F20&lt;=5,"0-5 min",IF(F20&lt;=15,"6-15 min",IF(F20&lt;=25,"16-25 min","26+ min"))))</f>
        <v/>
      </c>
    </row>
    <row r="21" spans="8:11" x14ac:dyDescent="0.2">
      <c r="H21" s="3" t="str">
        <f>IF(F21="","",IF(F21&lt;=5,"On Time","Delayed"))</f>
        <v/>
      </c>
      <c r="I21" s="3" t="str">
        <f>IF(G21="","",IF(G21&lt;30,"Low",IF(G21&lt;70,"Medium","High")))</f>
        <v/>
      </c>
      <c r="J21" s="3" t="str">
        <f>IF(D21="","",IF(VALUE(LEFT(D21,2))&lt;6,"Night",IF(VALUE(LEFT(D21,2))&lt;12,"Morning",IF(VALUE(LEFT(D21,2))&lt;17,"Afternoon",IF(VALUE(LEFT(D21,2))&lt;21,"Evening","Night")))))</f>
        <v/>
      </c>
      <c r="K21" s="3" t="str">
        <f>IF(F21="","",IF(F21&lt;=5,"0-5 min",IF(F21&lt;=15,"6-15 min",IF(F21&lt;=25,"16-25 min","26+ min"))))</f>
        <v/>
      </c>
    </row>
    <row r="22" spans="8:11" x14ac:dyDescent="0.2">
      <c r="H22" s="3" t="str">
        <f>IF(F22="","",IF(F22&lt;=5,"On Time","Delayed"))</f>
        <v/>
      </c>
      <c r="I22" s="3" t="str">
        <f>IF(G22="","",IF(G22&lt;30,"Low",IF(G22&lt;70,"Medium","High")))</f>
        <v/>
      </c>
      <c r="J22" s="3" t="str">
        <f>IF(D22="","",IF(VALUE(LEFT(D22,2))&lt;6,"Night",IF(VALUE(LEFT(D22,2))&lt;12,"Morning",IF(VALUE(LEFT(D22,2))&lt;17,"Afternoon",IF(VALUE(LEFT(D22,2))&lt;21,"Evening","Night")))))</f>
        <v/>
      </c>
      <c r="K22" s="3" t="str">
        <f>IF(F22="","",IF(F22&lt;=5,"0-5 min",IF(F22&lt;=15,"6-15 min",IF(F22&lt;=25,"16-25 min","26+ min"))))</f>
        <v/>
      </c>
    </row>
    <row r="23" spans="8:11" x14ac:dyDescent="0.2">
      <c r="H23" s="3" t="str">
        <f>IF(F23="","",IF(F23&lt;=5,"On Time","Delayed"))</f>
        <v/>
      </c>
      <c r="I23" s="3" t="str">
        <f>IF(G23="","",IF(G23&lt;30,"Low",IF(G23&lt;70,"Medium","High")))</f>
        <v/>
      </c>
      <c r="J23" s="3" t="str">
        <f>IF(D23="","",IF(VALUE(LEFT(D23,2))&lt;6,"Night",IF(VALUE(LEFT(D23,2))&lt;12,"Morning",IF(VALUE(LEFT(D23,2))&lt;17,"Afternoon",IF(VALUE(LEFT(D23,2))&lt;21,"Evening","Night")))))</f>
        <v/>
      </c>
      <c r="K23" s="3" t="str">
        <f>IF(F23="","",IF(F23&lt;=5,"0-5 min",IF(F23&lt;=15,"6-15 min",IF(F23&lt;=25,"16-25 min","26+ min"))))</f>
        <v/>
      </c>
    </row>
    <row r="24" spans="8:11" x14ac:dyDescent="0.2">
      <c r="H24" s="3" t="str">
        <f>IF(F24="","",IF(F24&lt;=5,"On Time","Delayed"))</f>
        <v/>
      </c>
      <c r="I24" s="3" t="str">
        <f>IF(G24="","",IF(G24&lt;30,"Low",IF(G24&lt;70,"Medium","High")))</f>
        <v/>
      </c>
      <c r="J24" s="3" t="str">
        <f>IF(D24="","",IF(VALUE(LEFT(D24,2))&lt;6,"Night",IF(VALUE(LEFT(D24,2))&lt;12,"Morning",IF(VALUE(LEFT(D24,2))&lt;17,"Afternoon",IF(VALUE(LEFT(D24,2))&lt;21,"Evening","Night")))))</f>
        <v/>
      </c>
      <c r="K24" s="3" t="str">
        <f>IF(F24="","",IF(F24&lt;=5,"0-5 min",IF(F24&lt;=15,"6-15 min",IF(F24&lt;=25,"16-25 min","26+ min"))))</f>
        <v/>
      </c>
    </row>
    <row r="25" spans="8:11" x14ac:dyDescent="0.2">
      <c r="H25" s="3" t="str">
        <f>IF(F25="","",IF(F25&lt;=5,"On Time","Delayed"))</f>
        <v/>
      </c>
      <c r="I25" s="3" t="str">
        <f>IF(G25="","",IF(G25&lt;30,"Low",IF(G25&lt;70,"Medium","High")))</f>
        <v/>
      </c>
      <c r="J25" s="3" t="str">
        <f>IF(D25="","",IF(VALUE(LEFT(D25,2))&lt;6,"Night",IF(VALUE(LEFT(D25,2))&lt;12,"Morning",IF(VALUE(LEFT(D25,2))&lt;17,"Afternoon",IF(VALUE(LEFT(D25,2))&lt;21,"Evening","Night")))))</f>
        <v/>
      </c>
      <c r="K25" s="3" t="str">
        <f>IF(F25="","",IF(F25&lt;=5,"0-5 min",IF(F25&lt;=15,"6-15 min",IF(F25&lt;=25,"16-25 min","26+ min"))))</f>
        <v/>
      </c>
    </row>
    <row r="26" spans="8:11" x14ac:dyDescent="0.2">
      <c r="H26" s="3" t="str">
        <f>IF(F26="","",IF(F26&lt;=5,"On Time","Delayed"))</f>
        <v/>
      </c>
      <c r="I26" s="3" t="str">
        <f>IF(G26="","",IF(G26&lt;30,"Low",IF(G26&lt;70,"Medium","High")))</f>
        <v/>
      </c>
      <c r="J26" s="3" t="str">
        <f>IF(D26="","",IF(VALUE(LEFT(D26,2))&lt;6,"Night",IF(VALUE(LEFT(D26,2))&lt;12,"Morning",IF(VALUE(LEFT(D26,2))&lt;17,"Afternoon",IF(VALUE(LEFT(D26,2))&lt;21,"Evening","Night")))))</f>
        <v/>
      </c>
      <c r="K26" s="3" t="str">
        <f>IF(F26="","",IF(F26&lt;=5,"0-5 min",IF(F26&lt;=15,"6-15 min",IF(F26&lt;=25,"16-25 min","26+ min"))))</f>
        <v/>
      </c>
    </row>
    <row r="27" spans="8:11" x14ac:dyDescent="0.2">
      <c r="H27" s="3" t="str">
        <f>IF(F27="","",IF(F27&lt;=5,"On Time","Delayed"))</f>
        <v/>
      </c>
      <c r="I27" s="3" t="str">
        <f>IF(G27="","",IF(G27&lt;30,"Low",IF(G27&lt;70,"Medium","High")))</f>
        <v/>
      </c>
      <c r="J27" s="3" t="str">
        <f>IF(D27="","",IF(VALUE(LEFT(D27,2))&lt;6,"Night",IF(VALUE(LEFT(D27,2))&lt;12,"Morning",IF(VALUE(LEFT(D27,2))&lt;17,"Afternoon",IF(VALUE(LEFT(D27,2))&lt;21,"Evening","Night")))))</f>
        <v/>
      </c>
      <c r="K27" s="3" t="str">
        <f>IF(F27="","",IF(F27&lt;=5,"0-5 min",IF(F27&lt;=15,"6-15 min",IF(F27&lt;=25,"16-25 min","26+ min"))))</f>
        <v/>
      </c>
    </row>
    <row r="28" spans="8:11" x14ac:dyDescent="0.2">
      <c r="H28" s="3" t="str">
        <f>IF(F28="","",IF(F28&lt;=5,"On Time","Delayed"))</f>
        <v/>
      </c>
      <c r="I28" s="3" t="str">
        <f>IF(G28="","",IF(G28&lt;30,"Low",IF(G28&lt;70,"Medium","High")))</f>
        <v/>
      </c>
      <c r="J28" s="3" t="str">
        <f>IF(D28="","",IF(VALUE(LEFT(D28,2))&lt;6,"Night",IF(VALUE(LEFT(D28,2))&lt;12,"Morning",IF(VALUE(LEFT(D28,2))&lt;17,"Afternoon",IF(VALUE(LEFT(D28,2))&lt;21,"Evening","Night")))))</f>
        <v/>
      </c>
      <c r="K28" s="3" t="str">
        <f>IF(F28="","",IF(F28&lt;=5,"0-5 min",IF(F28&lt;=15,"6-15 min",IF(F28&lt;=25,"16-25 min","26+ min"))))</f>
        <v/>
      </c>
    </row>
    <row r="29" spans="8:11" x14ac:dyDescent="0.2">
      <c r="H29" s="3" t="str">
        <f>IF(F29="","",IF(F29&lt;=5,"On Time","Delayed"))</f>
        <v/>
      </c>
      <c r="I29" s="3" t="str">
        <f>IF(G29="","",IF(G29&lt;30,"Low",IF(G29&lt;70,"Medium","High")))</f>
        <v/>
      </c>
      <c r="J29" s="3" t="str">
        <f>IF(D29="","",IF(VALUE(LEFT(D29,2))&lt;6,"Night",IF(VALUE(LEFT(D29,2))&lt;12,"Morning",IF(VALUE(LEFT(D29,2))&lt;17,"Afternoon",IF(VALUE(LEFT(D29,2))&lt;21,"Evening","Night")))))</f>
        <v/>
      </c>
      <c r="K29" s="3" t="str">
        <f>IF(F29="","",IF(F29&lt;=5,"0-5 min",IF(F29&lt;=15,"6-15 min",IF(F29&lt;=25,"16-25 min","26+ min"))))</f>
        <v/>
      </c>
    </row>
    <row r="30" spans="8:11" x14ac:dyDescent="0.2">
      <c r="H30" s="3" t="str">
        <f>IF(F30="","",IF(F30&lt;=5,"On Time","Delayed"))</f>
        <v/>
      </c>
      <c r="I30" s="3" t="str">
        <f>IF(G30="","",IF(G30&lt;30,"Low",IF(G30&lt;70,"Medium","High")))</f>
        <v/>
      </c>
      <c r="J30" s="3" t="str">
        <f>IF(D30="","",IF(VALUE(LEFT(D30,2))&lt;6,"Night",IF(VALUE(LEFT(D30,2))&lt;12,"Morning",IF(VALUE(LEFT(D30,2))&lt;17,"Afternoon",IF(VALUE(LEFT(D30,2))&lt;21,"Evening","Night")))))</f>
        <v/>
      </c>
      <c r="K30" s="3" t="str">
        <f>IF(F30="","",IF(F30&lt;=5,"0-5 min",IF(F30&lt;=15,"6-15 min",IF(F30&lt;=25,"16-25 min","26+ min"))))</f>
        <v/>
      </c>
    </row>
    <row r="31" spans="8:11" x14ac:dyDescent="0.2">
      <c r="H31" s="3" t="str">
        <f>IF(F31="","",IF(F31&lt;=5,"On Time","Delayed"))</f>
        <v/>
      </c>
      <c r="I31" s="3" t="str">
        <f>IF(G31="","",IF(G31&lt;30,"Low",IF(G31&lt;70,"Medium","High")))</f>
        <v/>
      </c>
      <c r="J31" s="3" t="str">
        <f>IF(D31="","",IF(VALUE(LEFT(D31,2))&lt;6,"Night",IF(VALUE(LEFT(D31,2))&lt;12,"Morning",IF(VALUE(LEFT(D31,2))&lt;17,"Afternoon",IF(VALUE(LEFT(D31,2))&lt;21,"Evening","Night")))))</f>
        <v/>
      </c>
      <c r="K31" s="3" t="str">
        <f>IF(F31="","",IF(F31&lt;=5,"0-5 min",IF(F31&lt;=15,"6-15 min",IF(F31&lt;=25,"16-25 min","26+ min"))))</f>
        <v/>
      </c>
    </row>
    <row r="32" spans="8:11" x14ac:dyDescent="0.2">
      <c r="H32" s="3" t="str">
        <f>IF(F32="","",IF(F32&lt;=5,"On Time","Delayed"))</f>
        <v/>
      </c>
      <c r="I32" s="3" t="str">
        <f>IF(G32="","",IF(G32&lt;30,"Low",IF(G32&lt;70,"Medium","High")))</f>
        <v/>
      </c>
      <c r="J32" s="3" t="str">
        <f>IF(D32="","",IF(VALUE(LEFT(D32,2))&lt;6,"Night",IF(VALUE(LEFT(D32,2))&lt;12,"Morning",IF(VALUE(LEFT(D32,2))&lt;17,"Afternoon",IF(VALUE(LEFT(D32,2))&lt;21,"Evening","Night")))))</f>
        <v/>
      </c>
      <c r="K32" s="3" t="str">
        <f>IF(F32="","",IF(F32&lt;=5,"0-5 min",IF(F32&lt;=15,"6-15 min",IF(F32&lt;=25,"16-25 min","26+ min"))))</f>
        <v/>
      </c>
    </row>
    <row r="33" spans="8:11" x14ac:dyDescent="0.2">
      <c r="H33" s="3" t="str">
        <f>IF(F33="","",IF(F33&lt;=5,"On Time","Delayed"))</f>
        <v/>
      </c>
      <c r="I33" s="3" t="str">
        <f>IF(G33="","",IF(G33&lt;30,"Low",IF(G33&lt;70,"Medium","High")))</f>
        <v/>
      </c>
      <c r="J33" s="3" t="str">
        <f>IF(D33="","",IF(VALUE(LEFT(D33,2))&lt;6,"Night",IF(VALUE(LEFT(D33,2))&lt;12,"Morning",IF(VALUE(LEFT(D33,2))&lt;17,"Afternoon",IF(VALUE(LEFT(D33,2))&lt;21,"Evening","Night")))))</f>
        <v/>
      </c>
      <c r="K33" s="3" t="str">
        <f>IF(F33="","",IF(F33&lt;=5,"0-5 min",IF(F33&lt;=15,"6-15 min",IF(F33&lt;=25,"16-25 min","26+ min"))))</f>
        <v/>
      </c>
    </row>
    <row r="34" spans="8:11" x14ac:dyDescent="0.2">
      <c r="H34" s="3" t="str">
        <f>IF(F34="","",IF(F34&lt;=5,"On Time","Delayed"))</f>
        <v/>
      </c>
      <c r="I34" s="3" t="str">
        <f>IF(G34="","",IF(G34&lt;30,"Low",IF(G34&lt;70,"Medium","High")))</f>
        <v/>
      </c>
      <c r="J34" s="3" t="str">
        <f>IF(D34="","",IF(VALUE(LEFT(D34,2))&lt;6,"Night",IF(VALUE(LEFT(D34,2))&lt;12,"Morning",IF(VALUE(LEFT(D34,2))&lt;17,"Afternoon",IF(VALUE(LEFT(D34,2))&lt;21,"Evening","Night")))))</f>
        <v/>
      </c>
      <c r="K34" s="3" t="str">
        <f>IF(F34="","",IF(F34&lt;=5,"0-5 min",IF(F34&lt;=15,"6-15 min",IF(F34&lt;=25,"16-25 min","26+ min"))))</f>
        <v/>
      </c>
    </row>
    <row r="35" spans="8:11" x14ac:dyDescent="0.2">
      <c r="H35" s="3" t="str">
        <f>IF(F35="","",IF(F35&lt;=5,"On Time","Delayed"))</f>
        <v/>
      </c>
      <c r="I35" s="3" t="str">
        <f>IF(G35="","",IF(G35&lt;30,"Low",IF(G35&lt;70,"Medium","High")))</f>
        <v/>
      </c>
      <c r="J35" s="3" t="str">
        <f>IF(D35="","",IF(VALUE(LEFT(D35,2))&lt;6,"Night",IF(VALUE(LEFT(D35,2))&lt;12,"Morning",IF(VALUE(LEFT(D35,2))&lt;17,"Afternoon",IF(VALUE(LEFT(D35,2))&lt;21,"Evening","Night")))))</f>
        <v/>
      </c>
      <c r="K35" s="3" t="str">
        <f>IF(F35="","",IF(F35&lt;=5,"0-5 min",IF(F35&lt;=15,"6-15 min",IF(F35&lt;=25,"16-25 min","26+ min"))))</f>
        <v/>
      </c>
    </row>
    <row r="36" spans="8:11" x14ac:dyDescent="0.2">
      <c r="H36" s="3" t="str">
        <f>IF(F36="","",IF(F36&lt;=5,"On Time","Delayed"))</f>
        <v/>
      </c>
      <c r="I36" s="3" t="str">
        <f>IF(G36="","",IF(G36&lt;30,"Low",IF(G36&lt;70,"Medium","High")))</f>
        <v/>
      </c>
      <c r="J36" s="3" t="str">
        <f>IF(D36="","",IF(VALUE(LEFT(D36,2))&lt;6,"Night",IF(VALUE(LEFT(D36,2))&lt;12,"Morning",IF(VALUE(LEFT(D36,2))&lt;17,"Afternoon",IF(VALUE(LEFT(D36,2))&lt;21,"Evening","Night")))))</f>
        <v/>
      </c>
      <c r="K36" s="3" t="str">
        <f>IF(F36="","",IF(F36&lt;=5,"0-5 min",IF(F36&lt;=15,"6-15 min",IF(F36&lt;=25,"16-25 min","26+ min"))))</f>
        <v/>
      </c>
    </row>
    <row r="37" spans="8:11" x14ac:dyDescent="0.2">
      <c r="H37" s="3" t="str">
        <f>IF(F37="","",IF(F37&lt;=5,"On Time","Delayed"))</f>
        <v/>
      </c>
      <c r="I37" s="3" t="str">
        <f>IF(G37="","",IF(G37&lt;30,"Low",IF(G37&lt;70,"Medium","High")))</f>
        <v/>
      </c>
      <c r="J37" s="3" t="str">
        <f>IF(D37="","",IF(VALUE(LEFT(D37,2))&lt;6,"Night",IF(VALUE(LEFT(D37,2))&lt;12,"Morning",IF(VALUE(LEFT(D37,2))&lt;17,"Afternoon",IF(VALUE(LEFT(D37,2))&lt;21,"Evening","Night")))))</f>
        <v/>
      </c>
      <c r="K37" s="3" t="str">
        <f>IF(F37="","",IF(F37&lt;=5,"0-5 min",IF(F37&lt;=15,"6-15 min",IF(F37&lt;=25,"16-25 min","26+ min"))))</f>
        <v/>
      </c>
    </row>
    <row r="38" spans="8:11" x14ac:dyDescent="0.2">
      <c r="H38" s="3" t="str">
        <f>IF(F38="","",IF(F38&lt;=5,"On Time","Delayed"))</f>
        <v/>
      </c>
      <c r="I38" s="3" t="str">
        <f>IF(G38="","",IF(G38&lt;30,"Low",IF(G38&lt;70,"Medium","High")))</f>
        <v/>
      </c>
      <c r="J38" s="3" t="str">
        <f>IF(D38="","",IF(VALUE(LEFT(D38,2))&lt;6,"Night",IF(VALUE(LEFT(D38,2))&lt;12,"Morning",IF(VALUE(LEFT(D38,2))&lt;17,"Afternoon",IF(VALUE(LEFT(D38,2))&lt;21,"Evening","Night")))))</f>
        <v/>
      </c>
      <c r="K38" s="3" t="str">
        <f>IF(F38="","",IF(F38&lt;=5,"0-5 min",IF(F38&lt;=15,"6-15 min",IF(F38&lt;=25,"16-25 min","26+ min"))))</f>
        <v/>
      </c>
    </row>
    <row r="39" spans="8:11" x14ac:dyDescent="0.2">
      <c r="H39" s="3" t="str">
        <f>IF(F39="","",IF(F39&lt;=5,"On Time","Delayed"))</f>
        <v/>
      </c>
      <c r="I39" s="3" t="str">
        <f>IF(G39="","",IF(G39&lt;30,"Low",IF(G39&lt;70,"Medium","High")))</f>
        <v/>
      </c>
      <c r="J39" s="3" t="str">
        <f>IF(D39="","",IF(VALUE(LEFT(D39,2))&lt;6,"Night",IF(VALUE(LEFT(D39,2))&lt;12,"Morning",IF(VALUE(LEFT(D39,2))&lt;17,"Afternoon",IF(VALUE(LEFT(D39,2))&lt;21,"Evening","Night")))))</f>
        <v/>
      </c>
      <c r="K39" s="3" t="str">
        <f>IF(F39="","",IF(F39&lt;=5,"0-5 min",IF(F39&lt;=15,"6-15 min",IF(F39&lt;=25,"16-25 min","26+ min"))))</f>
        <v/>
      </c>
    </row>
    <row r="40" spans="8:11" x14ac:dyDescent="0.2">
      <c r="H40" s="3" t="str">
        <f>IF(F40="","",IF(F40&lt;=5,"On Time","Delayed"))</f>
        <v/>
      </c>
      <c r="I40" s="3" t="str">
        <f>IF(G40="","",IF(G40&lt;30,"Low",IF(G40&lt;70,"Medium","High")))</f>
        <v/>
      </c>
      <c r="J40" s="3" t="str">
        <f>IF(D40="","",IF(VALUE(LEFT(D40,2))&lt;6,"Night",IF(VALUE(LEFT(D40,2))&lt;12,"Morning",IF(VALUE(LEFT(D40,2))&lt;17,"Afternoon",IF(VALUE(LEFT(D40,2))&lt;21,"Evening","Night")))))</f>
        <v/>
      </c>
      <c r="K40" s="3" t="str">
        <f>IF(F40="","",IF(F40&lt;=5,"0-5 min",IF(F40&lt;=15,"6-15 min",IF(F40&lt;=25,"16-25 min","26+ min"))))</f>
        <v/>
      </c>
    </row>
    <row r="41" spans="8:11" x14ac:dyDescent="0.2">
      <c r="H41" s="3" t="str">
        <f>IF(F41="","",IF(F41&lt;=5,"On Time","Delayed"))</f>
        <v/>
      </c>
      <c r="I41" s="3" t="str">
        <f>IF(G41="","",IF(G41&lt;30,"Low",IF(G41&lt;70,"Medium","High")))</f>
        <v/>
      </c>
      <c r="J41" s="3" t="str">
        <f>IF(D41="","",IF(VALUE(LEFT(D41,2))&lt;6,"Night",IF(VALUE(LEFT(D41,2))&lt;12,"Morning",IF(VALUE(LEFT(D41,2))&lt;17,"Afternoon",IF(VALUE(LEFT(D41,2))&lt;21,"Evening","Night")))))</f>
        <v/>
      </c>
      <c r="K41" s="3" t="str">
        <f>IF(F41="","",IF(F41&lt;=5,"0-5 min",IF(F41&lt;=15,"6-15 min",IF(F41&lt;=25,"16-25 min","26+ min"))))</f>
        <v/>
      </c>
    </row>
    <row r="42" spans="8:11" x14ac:dyDescent="0.2">
      <c r="H42" s="3" t="str">
        <f>IF(F42="","",IF(F42&lt;=5,"On Time","Delayed"))</f>
        <v/>
      </c>
      <c r="I42" s="3" t="str">
        <f>IF(G42="","",IF(G42&lt;30,"Low",IF(G42&lt;70,"Medium","High")))</f>
        <v/>
      </c>
      <c r="J42" s="3" t="str">
        <f>IF(D42="","",IF(VALUE(LEFT(D42,2))&lt;6,"Night",IF(VALUE(LEFT(D42,2))&lt;12,"Morning",IF(VALUE(LEFT(D42,2))&lt;17,"Afternoon",IF(VALUE(LEFT(D42,2))&lt;21,"Evening","Night")))))</f>
        <v/>
      </c>
      <c r="K42" s="3" t="str">
        <f>IF(F42="","",IF(F42&lt;=5,"0-5 min",IF(F42&lt;=15,"6-15 min",IF(F42&lt;=25,"16-25 min","26+ min"))))</f>
        <v/>
      </c>
    </row>
    <row r="43" spans="8:11" x14ac:dyDescent="0.2">
      <c r="H43" s="3" t="str">
        <f>IF(F43="","",IF(F43&lt;=5,"On Time","Delayed"))</f>
        <v/>
      </c>
      <c r="I43" s="3" t="str">
        <f>IF(G43="","",IF(G43&lt;30,"Low",IF(G43&lt;70,"Medium","High")))</f>
        <v/>
      </c>
      <c r="J43" s="3" t="str">
        <f>IF(D43="","",IF(VALUE(LEFT(D43,2))&lt;6,"Night",IF(VALUE(LEFT(D43,2))&lt;12,"Morning",IF(VALUE(LEFT(D43,2))&lt;17,"Afternoon",IF(VALUE(LEFT(D43,2))&lt;21,"Evening","Night")))))</f>
        <v/>
      </c>
      <c r="K43" s="3" t="str">
        <f>IF(F43="","",IF(F43&lt;=5,"0-5 min",IF(F43&lt;=15,"6-15 min",IF(F43&lt;=25,"16-25 min","26+ min"))))</f>
        <v/>
      </c>
    </row>
    <row r="44" spans="8:11" x14ac:dyDescent="0.2">
      <c r="H44" s="3" t="str">
        <f>IF(F44="","",IF(F44&lt;=5,"On Time","Delayed"))</f>
        <v/>
      </c>
      <c r="I44" s="3" t="str">
        <f>IF(G44="","",IF(G44&lt;30,"Low",IF(G44&lt;70,"Medium","High")))</f>
        <v/>
      </c>
      <c r="J44" s="3" t="str">
        <f>IF(D44="","",IF(VALUE(LEFT(D44,2))&lt;6,"Night",IF(VALUE(LEFT(D44,2))&lt;12,"Morning",IF(VALUE(LEFT(D44,2))&lt;17,"Afternoon",IF(VALUE(LEFT(D44,2))&lt;21,"Evening","Night")))))</f>
        <v/>
      </c>
      <c r="K44" s="3" t="str">
        <f>IF(F44="","",IF(F44&lt;=5,"0-5 min",IF(F44&lt;=15,"6-15 min",IF(F44&lt;=25,"16-25 min","26+ min"))))</f>
        <v/>
      </c>
    </row>
    <row r="45" spans="8:11" x14ac:dyDescent="0.2">
      <c r="H45" s="3" t="str">
        <f>IF(F45="","",IF(F45&lt;=5,"On Time","Delayed"))</f>
        <v/>
      </c>
      <c r="I45" s="3" t="str">
        <f>IF(G45="","",IF(G45&lt;30,"Low",IF(G45&lt;70,"Medium","High")))</f>
        <v/>
      </c>
      <c r="J45" s="3" t="str">
        <f>IF(D45="","",IF(VALUE(LEFT(D45,2))&lt;6,"Night",IF(VALUE(LEFT(D45,2))&lt;12,"Morning",IF(VALUE(LEFT(D45,2))&lt;17,"Afternoon",IF(VALUE(LEFT(D45,2))&lt;21,"Evening","Night")))))</f>
        <v/>
      </c>
      <c r="K45" s="3" t="str">
        <f>IF(F45="","",IF(F45&lt;=5,"0-5 min",IF(F45&lt;=15,"6-15 min",IF(F45&lt;=25,"16-25 min","26+ min"))))</f>
        <v/>
      </c>
    </row>
    <row r="46" spans="8:11" x14ac:dyDescent="0.2">
      <c r="H46" s="3" t="str">
        <f>IF(F46="","",IF(F46&lt;=5,"On Time","Delayed"))</f>
        <v/>
      </c>
      <c r="I46" s="3" t="str">
        <f>IF(G46="","",IF(G46&lt;30,"Low",IF(G46&lt;70,"Medium","High")))</f>
        <v/>
      </c>
      <c r="J46" s="3" t="str">
        <f>IF(D46="","",IF(VALUE(LEFT(D46,2))&lt;6,"Night",IF(VALUE(LEFT(D46,2))&lt;12,"Morning",IF(VALUE(LEFT(D46,2))&lt;17,"Afternoon",IF(VALUE(LEFT(D46,2))&lt;21,"Evening","Night")))))</f>
        <v/>
      </c>
      <c r="K46" s="3" t="str">
        <f>IF(F46="","",IF(F46&lt;=5,"0-5 min",IF(F46&lt;=15,"6-15 min",IF(F46&lt;=25,"16-25 min","26+ min"))))</f>
        <v/>
      </c>
    </row>
    <row r="47" spans="8:11" x14ac:dyDescent="0.2">
      <c r="H47" s="3" t="str">
        <f>IF(F47="","",IF(F47&lt;=5,"On Time","Delayed"))</f>
        <v/>
      </c>
      <c r="I47" s="3" t="str">
        <f>IF(G47="","",IF(G47&lt;30,"Low",IF(G47&lt;70,"Medium","High")))</f>
        <v/>
      </c>
      <c r="J47" s="3" t="str">
        <f>IF(D47="","",IF(VALUE(LEFT(D47,2))&lt;6,"Night",IF(VALUE(LEFT(D47,2))&lt;12,"Morning",IF(VALUE(LEFT(D47,2))&lt;17,"Afternoon",IF(VALUE(LEFT(D47,2))&lt;21,"Evening","Night")))))</f>
        <v/>
      </c>
      <c r="K47" s="3" t="str">
        <f>IF(F47="","",IF(F47&lt;=5,"0-5 min",IF(F47&lt;=15,"6-15 min",IF(F47&lt;=25,"16-25 min","26+ min"))))</f>
        <v/>
      </c>
    </row>
    <row r="48" spans="8:11" x14ac:dyDescent="0.2">
      <c r="H48" s="3" t="str">
        <f>IF(F48="","",IF(F48&lt;=5,"On Time","Delayed"))</f>
        <v/>
      </c>
      <c r="I48" s="3" t="str">
        <f>IF(G48="","",IF(G48&lt;30,"Low",IF(G48&lt;70,"Medium","High")))</f>
        <v/>
      </c>
      <c r="J48" s="3" t="str">
        <f>IF(D48="","",IF(VALUE(LEFT(D48,2))&lt;6,"Night",IF(VALUE(LEFT(D48,2))&lt;12,"Morning",IF(VALUE(LEFT(D48,2))&lt;17,"Afternoon",IF(VALUE(LEFT(D48,2))&lt;21,"Evening","Night")))))</f>
        <v/>
      </c>
      <c r="K48" s="3" t="str">
        <f>IF(F48="","",IF(F48&lt;=5,"0-5 min",IF(F48&lt;=15,"6-15 min",IF(F48&lt;=25,"16-25 min","26+ min"))))</f>
        <v/>
      </c>
    </row>
    <row r="49" spans="8:11" x14ac:dyDescent="0.2">
      <c r="H49" s="3" t="str">
        <f>IF(F49="","",IF(F49&lt;=5,"On Time","Delayed"))</f>
        <v/>
      </c>
      <c r="I49" s="3" t="str">
        <f>IF(G49="","",IF(G49&lt;30,"Low",IF(G49&lt;70,"Medium","High")))</f>
        <v/>
      </c>
      <c r="J49" s="3" t="str">
        <f>IF(D49="","",IF(VALUE(LEFT(D49,2))&lt;6,"Night",IF(VALUE(LEFT(D49,2))&lt;12,"Morning",IF(VALUE(LEFT(D49,2))&lt;17,"Afternoon",IF(VALUE(LEFT(D49,2))&lt;21,"Evening","Night")))))</f>
        <v/>
      </c>
      <c r="K49" s="3" t="str">
        <f>IF(F49="","",IF(F49&lt;=5,"0-5 min",IF(F49&lt;=15,"6-15 min",IF(F49&lt;=25,"16-25 min","26+ min"))))</f>
        <v/>
      </c>
    </row>
    <row r="50" spans="8:11" x14ac:dyDescent="0.2">
      <c r="H50" s="3" t="str">
        <f>IF(F50="","",IF(F50&lt;=5,"On Time","Delayed"))</f>
        <v/>
      </c>
      <c r="I50" s="3" t="str">
        <f>IF(G50="","",IF(G50&lt;30,"Low",IF(G50&lt;70,"Medium","High")))</f>
        <v/>
      </c>
      <c r="J50" s="3" t="str">
        <f>IF(D50="","",IF(VALUE(LEFT(D50,2))&lt;6,"Night",IF(VALUE(LEFT(D50,2))&lt;12,"Morning",IF(VALUE(LEFT(D50,2))&lt;17,"Afternoon",IF(VALUE(LEFT(D50,2))&lt;21,"Evening","Night")))))</f>
        <v/>
      </c>
      <c r="K50" s="3" t="str">
        <f>IF(F50="","",IF(F50&lt;=5,"0-5 min",IF(F50&lt;=15,"6-15 min",IF(F50&lt;=25,"16-25 min","26+ min"))))</f>
        <v/>
      </c>
    </row>
    <row r="51" spans="8:11" x14ac:dyDescent="0.2">
      <c r="H51" s="3" t="str">
        <f>IF(F51="","",IF(F51&lt;=5,"On Time","Delayed"))</f>
        <v/>
      </c>
      <c r="I51" s="3" t="str">
        <f>IF(G51="","",IF(G51&lt;30,"Low",IF(G51&lt;70,"Medium","High")))</f>
        <v/>
      </c>
      <c r="J51" s="3" t="str">
        <f>IF(D51="","",IF(VALUE(LEFT(D51,2))&lt;6,"Night",IF(VALUE(LEFT(D51,2))&lt;12,"Morning",IF(VALUE(LEFT(D51,2))&lt;17,"Afternoon",IF(VALUE(LEFT(D51,2))&lt;21,"Evening","Night")))))</f>
        <v/>
      </c>
      <c r="K51" s="3" t="str">
        <f>IF(F51="","",IF(F51&lt;=5,"0-5 min",IF(F51&lt;=15,"6-15 min",IF(F51&lt;=25,"16-25 min","26+ min"))))</f>
        <v/>
      </c>
    </row>
    <row r="52" spans="8:11" x14ac:dyDescent="0.2">
      <c r="H52" s="3" t="str">
        <f>IF(F52="","",IF(F52&lt;=5,"On Time","Delayed"))</f>
        <v/>
      </c>
      <c r="I52" s="3" t="str">
        <f>IF(G52="","",IF(G52&lt;30,"Low",IF(G52&lt;70,"Medium","High")))</f>
        <v/>
      </c>
      <c r="J52" s="3" t="str">
        <f>IF(D52="","",IF(VALUE(LEFT(D52,2))&lt;6,"Night",IF(VALUE(LEFT(D52,2))&lt;12,"Morning",IF(VALUE(LEFT(D52,2))&lt;17,"Afternoon",IF(VALUE(LEFT(D52,2))&lt;21,"Evening","Night")))))</f>
        <v/>
      </c>
      <c r="K52" s="3" t="str">
        <f>IF(F52="","",IF(F52&lt;=5,"0-5 min",IF(F52&lt;=15,"6-15 min",IF(F52&lt;=25,"16-25 min","26+ min"))))</f>
        <v/>
      </c>
    </row>
    <row r="53" spans="8:11" x14ac:dyDescent="0.2">
      <c r="H53" s="3" t="str">
        <f>IF(F53="","",IF(F53&lt;=5,"On Time","Delayed"))</f>
        <v/>
      </c>
      <c r="I53" s="3" t="str">
        <f>IF(G53="","",IF(G53&lt;30,"Low",IF(G53&lt;70,"Medium","High")))</f>
        <v/>
      </c>
      <c r="J53" s="3" t="str">
        <f>IF(D53="","",IF(VALUE(LEFT(D53,2))&lt;6,"Night",IF(VALUE(LEFT(D53,2))&lt;12,"Morning",IF(VALUE(LEFT(D53,2))&lt;17,"Afternoon",IF(VALUE(LEFT(D53,2))&lt;21,"Evening","Night")))))</f>
        <v/>
      </c>
      <c r="K53" s="3" t="str">
        <f>IF(F53="","",IF(F53&lt;=5,"0-5 min",IF(F53&lt;=15,"6-15 min",IF(F53&lt;=25,"16-25 min","26+ min"))))</f>
        <v/>
      </c>
    </row>
    <row r="54" spans="8:11" x14ac:dyDescent="0.2">
      <c r="H54" s="3" t="str">
        <f>IF(F54="","",IF(F54&lt;=5,"On Time","Delayed"))</f>
        <v/>
      </c>
      <c r="I54" s="3" t="str">
        <f>IF(G54="","",IF(G54&lt;30,"Low",IF(G54&lt;70,"Medium","High")))</f>
        <v/>
      </c>
      <c r="J54" s="3" t="str">
        <f>IF(D54="","",IF(VALUE(LEFT(D54,2))&lt;6,"Night",IF(VALUE(LEFT(D54,2))&lt;12,"Morning",IF(VALUE(LEFT(D54,2))&lt;17,"Afternoon",IF(VALUE(LEFT(D54,2))&lt;21,"Evening","Night")))))</f>
        <v/>
      </c>
      <c r="K54" s="3" t="str">
        <f>IF(F54="","",IF(F54&lt;=5,"0-5 min",IF(F54&lt;=15,"6-15 min",IF(F54&lt;=25,"16-25 min","26+ min"))))</f>
        <v/>
      </c>
    </row>
    <row r="55" spans="8:11" x14ac:dyDescent="0.2">
      <c r="H55" s="3" t="str">
        <f>IF(F55="","",IF(F55&lt;=5,"On Time","Delayed"))</f>
        <v/>
      </c>
      <c r="I55" s="3" t="str">
        <f>IF(G55="","",IF(G55&lt;30,"Low",IF(G55&lt;70,"Medium","High")))</f>
        <v/>
      </c>
      <c r="J55" s="3" t="str">
        <f>IF(D55="","",IF(VALUE(LEFT(D55,2))&lt;6,"Night",IF(VALUE(LEFT(D55,2))&lt;12,"Morning",IF(VALUE(LEFT(D55,2))&lt;17,"Afternoon",IF(VALUE(LEFT(D55,2))&lt;21,"Evening","Night")))))</f>
        <v/>
      </c>
      <c r="K55" s="3" t="str">
        <f>IF(F55="","",IF(F55&lt;=5,"0-5 min",IF(F55&lt;=15,"6-15 min",IF(F55&lt;=25,"16-25 min","26+ min"))))</f>
        <v/>
      </c>
    </row>
    <row r="56" spans="8:11" x14ac:dyDescent="0.2">
      <c r="H56" s="3" t="str">
        <f>IF(F56="","",IF(F56&lt;=5,"On Time","Delayed"))</f>
        <v/>
      </c>
      <c r="I56" s="3" t="str">
        <f>IF(G56="","",IF(G56&lt;30,"Low",IF(G56&lt;70,"Medium","High")))</f>
        <v/>
      </c>
      <c r="J56" s="3" t="str">
        <f>IF(D56="","",IF(VALUE(LEFT(D56,2))&lt;6,"Night",IF(VALUE(LEFT(D56,2))&lt;12,"Morning",IF(VALUE(LEFT(D56,2))&lt;17,"Afternoon",IF(VALUE(LEFT(D56,2))&lt;21,"Evening","Night")))))</f>
        <v/>
      </c>
      <c r="K56" s="3" t="str">
        <f>IF(F56="","",IF(F56&lt;=5,"0-5 min",IF(F56&lt;=15,"6-15 min",IF(F56&lt;=25,"16-25 min","26+ min"))))</f>
        <v/>
      </c>
    </row>
    <row r="57" spans="8:11" x14ac:dyDescent="0.2">
      <c r="H57" s="3" t="str">
        <f>IF(F57="","",IF(F57&lt;=5,"On Time","Delayed"))</f>
        <v/>
      </c>
      <c r="I57" s="3" t="str">
        <f>IF(G57="","",IF(G57&lt;30,"Low",IF(G57&lt;70,"Medium","High")))</f>
        <v/>
      </c>
      <c r="J57" s="3" t="str">
        <f>IF(D57="","",IF(VALUE(LEFT(D57,2))&lt;6,"Night",IF(VALUE(LEFT(D57,2))&lt;12,"Morning",IF(VALUE(LEFT(D57,2))&lt;17,"Afternoon",IF(VALUE(LEFT(D57,2))&lt;21,"Evening","Night")))))</f>
        <v/>
      </c>
      <c r="K57" s="3" t="str">
        <f>IF(F57="","",IF(F57&lt;=5,"0-5 min",IF(F57&lt;=15,"6-15 min",IF(F57&lt;=25,"16-25 min","26+ min"))))</f>
        <v/>
      </c>
    </row>
    <row r="58" spans="8:11" x14ac:dyDescent="0.2">
      <c r="H58" s="3" t="str">
        <f>IF(F58="","",IF(F58&lt;=5,"On Time","Delayed"))</f>
        <v/>
      </c>
      <c r="I58" s="3" t="str">
        <f>IF(G58="","",IF(G58&lt;30,"Low",IF(G58&lt;70,"Medium","High")))</f>
        <v/>
      </c>
      <c r="J58" s="3" t="str">
        <f>IF(D58="","",IF(VALUE(LEFT(D58,2))&lt;6,"Night",IF(VALUE(LEFT(D58,2))&lt;12,"Morning",IF(VALUE(LEFT(D58,2))&lt;17,"Afternoon",IF(VALUE(LEFT(D58,2))&lt;21,"Evening","Night")))))</f>
        <v/>
      </c>
      <c r="K58" s="3" t="str">
        <f>IF(F58="","",IF(F58&lt;=5,"0-5 min",IF(F58&lt;=15,"6-15 min",IF(F58&lt;=25,"16-25 min","26+ min"))))</f>
        <v/>
      </c>
    </row>
    <row r="59" spans="8:11" x14ac:dyDescent="0.2">
      <c r="H59" s="3" t="str">
        <f>IF(F59="","",IF(F59&lt;=5,"On Time","Delayed"))</f>
        <v/>
      </c>
      <c r="I59" s="3" t="str">
        <f>IF(G59="","",IF(G59&lt;30,"Low",IF(G59&lt;70,"Medium","High")))</f>
        <v/>
      </c>
      <c r="J59" s="3" t="str">
        <f>IF(D59="","",IF(VALUE(LEFT(D59,2))&lt;6,"Night",IF(VALUE(LEFT(D59,2))&lt;12,"Morning",IF(VALUE(LEFT(D59,2))&lt;17,"Afternoon",IF(VALUE(LEFT(D59,2))&lt;21,"Evening","Night")))))</f>
        <v/>
      </c>
      <c r="K59" s="3" t="str">
        <f>IF(F59="","",IF(F59&lt;=5,"0-5 min",IF(F59&lt;=15,"6-15 min",IF(F59&lt;=25,"16-25 min","26+ min"))))</f>
        <v/>
      </c>
    </row>
    <row r="60" spans="8:11" x14ac:dyDescent="0.2">
      <c r="H60" s="3" t="str">
        <f>IF(F60="","",IF(F60&lt;=5,"On Time","Delayed"))</f>
        <v/>
      </c>
      <c r="I60" s="3" t="str">
        <f>IF(G60="","",IF(G60&lt;30,"Low",IF(G60&lt;70,"Medium","High")))</f>
        <v/>
      </c>
      <c r="J60" s="3" t="str">
        <f>IF(D60="","",IF(VALUE(LEFT(D60,2))&lt;6,"Night",IF(VALUE(LEFT(D60,2))&lt;12,"Morning",IF(VALUE(LEFT(D60,2))&lt;17,"Afternoon",IF(VALUE(LEFT(D60,2))&lt;21,"Evening","Night")))))</f>
        <v/>
      </c>
      <c r="K60" s="3" t="str">
        <f>IF(F60="","",IF(F60&lt;=5,"0-5 min",IF(F60&lt;=15,"6-15 min",IF(F60&lt;=25,"16-25 min","26+ min"))))</f>
        <v/>
      </c>
    </row>
    <row r="61" spans="8:11" x14ac:dyDescent="0.2">
      <c r="H61" s="3" t="str">
        <f>IF(F61="","",IF(F61&lt;=5,"On Time","Delayed"))</f>
        <v/>
      </c>
      <c r="I61" s="3" t="str">
        <f>IF(G61="","",IF(G61&lt;30,"Low",IF(G61&lt;70,"Medium","High")))</f>
        <v/>
      </c>
      <c r="J61" s="3" t="str">
        <f>IF(D61="","",IF(VALUE(LEFT(D61,2))&lt;6,"Night",IF(VALUE(LEFT(D61,2))&lt;12,"Morning",IF(VALUE(LEFT(D61,2))&lt;17,"Afternoon",IF(VALUE(LEFT(D61,2))&lt;21,"Evening","Night")))))</f>
        <v/>
      </c>
      <c r="K61" s="3" t="str">
        <f>IF(F61="","",IF(F61&lt;=5,"0-5 min",IF(F61&lt;=15,"6-15 min",IF(F61&lt;=25,"16-25 min","26+ min"))))</f>
        <v/>
      </c>
    </row>
    <row r="62" spans="8:11" x14ac:dyDescent="0.2">
      <c r="H62" s="3" t="str">
        <f>IF(F62="","",IF(F62&lt;=5,"On Time","Delayed"))</f>
        <v/>
      </c>
      <c r="I62" s="3" t="str">
        <f>IF(G62="","",IF(G62&lt;30,"Low",IF(G62&lt;70,"Medium","High")))</f>
        <v/>
      </c>
      <c r="J62" s="3" t="str">
        <f>IF(D62="","",IF(VALUE(LEFT(D62,2))&lt;6,"Night",IF(VALUE(LEFT(D62,2))&lt;12,"Morning",IF(VALUE(LEFT(D62,2))&lt;17,"Afternoon",IF(VALUE(LEFT(D62,2))&lt;21,"Evening","Night")))))</f>
        <v/>
      </c>
      <c r="K62" s="3" t="str">
        <f>IF(F62="","",IF(F62&lt;=5,"0-5 min",IF(F62&lt;=15,"6-15 min",IF(F62&lt;=25,"16-25 min","26+ min"))))</f>
        <v/>
      </c>
    </row>
    <row r="63" spans="8:11" x14ac:dyDescent="0.2">
      <c r="H63" s="3" t="str">
        <f>IF(F63="","",IF(F63&lt;=5,"On Time","Delayed"))</f>
        <v/>
      </c>
      <c r="I63" s="3" t="str">
        <f>IF(G63="","",IF(G63&lt;30,"Low",IF(G63&lt;70,"Medium","High")))</f>
        <v/>
      </c>
      <c r="J63" s="3" t="str">
        <f>IF(D63="","",IF(VALUE(LEFT(D63,2))&lt;6,"Night",IF(VALUE(LEFT(D63,2))&lt;12,"Morning",IF(VALUE(LEFT(D63,2))&lt;17,"Afternoon",IF(VALUE(LEFT(D63,2))&lt;21,"Evening","Night")))))</f>
        <v/>
      </c>
      <c r="K63" s="3" t="str">
        <f>IF(F63="","",IF(F63&lt;=5,"0-5 min",IF(F63&lt;=15,"6-15 min",IF(F63&lt;=25,"16-25 min","26+ min"))))</f>
        <v/>
      </c>
    </row>
    <row r="64" spans="8:11" x14ac:dyDescent="0.2">
      <c r="H64" s="3" t="str">
        <f>IF(F64="","",IF(F64&lt;=5,"On Time","Delayed"))</f>
        <v/>
      </c>
      <c r="I64" s="3" t="str">
        <f>IF(G64="","",IF(G64&lt;30,"Low",IF(G64&lt;70,"Medium","High")))</f>
        <v/>
      </c>
      <c r="J64" s="3" t="str">
        <f>IF(D64="","",IF(VALUE(LEFT(D64,2))&lt;6,"Night",IF(VALUE(LEFT(D64,2))&lt;12,"Morning",IF(VALUE(LEFT(D64,2))&lt;17,"Afternoon",IF(VALUE(LEFT(D64,2))&lt;21,"Evening","Night")))))</f>
        <v/>
      </c>
      <c r="K64" s="3" t="str">
        <f>IF(F64="","",IF(F64&lt;=5,"0-5 min",IF(F64&lt;=15,"6-15 min",IF(F64&lt;=25,"16-25 min","26+ min"))))</f>
        <v/>
      </c>
    </row>
    <row r="65" spans="8:11" x14ac:dyDescent="0.2">
      <c r="H65" s="3" t="str">
        <f>IF(F65="","",IF(F65&lt;=5,"On Time","Delayed"))</f>
        <v/>
      </c>
      <c r="I65" s="3" t="str">
        <f>IF(G65="","",IF(G65&lt;30,"Low",IF(G65&lt;70,"Medium","High")))</f>
        <v/>
      </c>
      <c r="J65" s="3" t="str">
        <f>IF(D65="","",IF(VALUE(LEFT(D65,2))&lt;6,"Night",IF(VALUE(LEFT(D65,2))&lt;12,"Morning",IF(VALUE(LEFT(D65,2))&lt;17,"Afternoon",IF(VALUE(LEFT(D65,2))&lt;21,"Evening","Night")))))</f>
        <v/>
      </c>
      <c r="K65" s="3" t="str">
        <f>IF(F65="","",IF(F65&lt;=5,"0-5 min",IF(F65&lt;=15,"6-15 min",IF(F65&lt;=25,"16-25 min","26+ min"))))</f>
        <v/>
      </c>
    </row>
    <row r="66" spans="8:11" x14ac:dyDescent="0.2">
      <c r="H66" s="3" t="str">
        <f>IF(F66="","",IF(F66&lt;=5,"On Time","Delayed"))</f>
        <v/>
      </c>
      <c r="I66" s="3" t="str">
        <f>IF(G66="","",IF(G66&lt;30,"Low",IF(G66&lt;70,"Medium","High")))</f>
        <v/>
      </c>
      <c r="J66" s="3" t="str">
        <f>IF(D66="","",IF(VALUE(LEFT(D66,2))&lt;6,"Night",IF(VALUE(LEFT(D66,2))&lt;12,"Morning",IF(VALUE(LEFT(D66,2))&lt;17,"Afternoon",IF(VALUE(LEFT(D66,2))&lt;21,"Evening","Night")))))</f>
        <v/>
      </c>
      <c r="K66" s="3" t="str">
        <f>IF(F66="","",IF(F66&lt;=5,"0-5 min",IF(F66&lt;=15,"6-15 min",IF(F66&lt;=25,"16-25 min","26+ min"))))</f>
        <v/>
      </c>
    </row>
    <row r="67" spans="8:11" x14ac:dyDescent="0.2">
      <c r="H67" s="3" t="str">
        <f>IF(F67="","",IF(F67&lt;=5,"On Time","Delayed"))</f>
        <v/>
      </c>
      <c r="I67" s="3" t="str">
        <f>IF(G67="","",IF(G67&lt;30,"Low",IF(G67&lt;70,"Medium","High")))</f>
        <v/>
      </c>
      <c r="J67" s="3" t="str">
        <f>IF(D67="","",IF(VALUE(LEFT(D67,2))&lt;6,"Night",IF(VALUE(LEFT(D67,2))&lt;12,"Morning",IF(VALUE(LEFT(D67,2))&lt;17,"Afternoon",IF(VALUE(LEFT(D67,2))&lt;21,"Evening","Night")))))</f>
        <v/>
      </c>
      <c r="K67" s="3" t="str">
        <f>IF(F67="","",IF(F67&lt;=5,"0-5 min",IF(F67&lt;=15,"6-15 min",IF(F67&lt;=25,"16-25 min","26+ min"))))</f>
        <v/>
      </c>
    </row>
    <row r="68" spans="8:11" x14ac:dyDescent="0.2">
      <c r="H68" s="3" t="str">
        <f>IF(F68="","",IF(F68&lt;=5,"On Time","Delayed"))</f>
        <v/>
      </c>
      <c r="I68" s="3" t="str">
        <f>IF(G68="","",IF(G68&lt;30,"Low",IF(G68&lt;70,"Medium","High")))</f>
        <v/>
      </c>
      <c r="J68" s="3" t="str">
        <f>IF(D68="","",IF(VALUE(LEFT(D68,2))&lt;6,"Night",IF(VALUE(LEFT(D68,2))&lt;12,"Morning",IF(VALUE(LEFT(D68,2))&lt;17,"Afternoon",IF(VALUE(LEFT(D68,2))&lt;21,"Evening","Night")))))</f>
        <v/>
      </c>
      <c r="K68" s="3" t="str">
        <f>IF(F68="","",IF(F68&lt;=5,"0-5 min",IF(F68&lt;=15,"6-15 min",IF(F68&lt;=25,"16-25 min","26+ min"))))</f>
        <v/>
      </c>
    </row>
    <row r="69" spans="8:11" x14ac:dyDescent="0.2">
      <c r="H69" s="3" t="str">
        <f>IF(F69="","",IF(F69&lt;=5,"On Time","Delayed"))</f>
        <v/>
      </c>
      <c r="I69" s="3" t="str">
        <f>IF(G69="","",IF(G69&lt;30,"Low",IF(G69&lt;70,"Medium","High")))</f>
        <v/>
      </c>
      <c r="J69" s="3" t="str">
        <f>IF(D69="","",IF(VALUE(LEFT(D69,2))&lt;6,"Night",IF(VALUE(LEFT(D69,2))&lt;12,"Morning",IF(VALUE(LEFT(D69,2))&lt;17,"Afternoon",IF(VALUE(LEFT(D69,2))&lt;21,"Evening","Night")))))</f>
        <v/>
      </c>
      <c r="K69" s="3" t="str">
        <f>IF(F69="","",IF(F69&lt;=5,"0-5 min",IF(F69&lt;=15,"6-15 min",IF(F69&lt;=25,"16-25 min","26+ min"))))</f>
        <v/>
      </c>
    </row>
    <row r="70" spans="8:11" x14ac:dyDescent="0.2">
      <c r="H70" s="3" t="str">
        <f>IF(F70="","",IF(F70&lt;=5,"On Time","Delayed"))</f>
        <v/>
      </c>
      <c r="I70" s="3" t="str">
        <f>IF(G70="","",IF(G70&lt;30,"Low",IF(G70&lt;70,"Medium","High")))</f>
        <v/>
      </c>
      <c r="J70" s="3" t="str">
        <f>IF(D70="","",IF(VALUE(LEFT(D70,2))&lt;6,"Night",IF(VALUE(LEFT(D70,2))&lt;12,"Morning",IF(VALUE(LEFT(D70,2))&lt;17,"Afternoon",IF(VALUE(LEFT(D70,2))&lt;21,"Evening","Night")))))</f>
        <v/>
      </c>
      <c r="K70" s="3" t="str">
        <f>IF(F70="","",IF(F70&lt;=5,"0-5 min",IF(F70&lt;=15,"6-15 min",IF(F70&lt;=25,"16-25 min","26+ min"))))</f>
        <v/>
      </c>
    </row>
    <row r="71" spans="8:11" x14ac:dyDescent="0.2">
      <c r="H71" s="3" t="str">
        <f>IF(F71="","",IF(F71&lt;=5,"On Time","Delayed"))</f>
        <v/>
      </c>
      <c r="I71" s="3" t="str">
        <f>IF(G71="","",IF(G71&lt;30,"Low",IF(G71&lt;70,"Medium","High")))</f>
        <v/>
      </c>
      <c r="J71" s="3" t="str">
        <f>IF(D71="","",IF(VALUE(LEFT(D71,2))&lt;6,"Night",IF(VALUE(LEFT(D71,2))&lt;12,"Morning",IF(VALUE(LEFT(D71,2))&lt;17,"Afternoon",IF(VALUE(LEFT(D71,2))&lt;21,"Evening","Night")))))</f>
        <v/>
      </c>
      <c r="K71" s="3" t="str">
        <f>IF(F71="","",IF(F71&lt;=5,"0-5 min",IF(F71&lt;=15,"6-15 min",IF(F71&lt;=25,"16-25 min","26+ min"))))</f>
        <v/>
      </c>
    </row>
    <row r="72" spans="8:11" x14ac:dyDescent="0.2">
      <c r="H72" s="3" t="str">
        <f>IF(F72="","",IF(F72&lt;=5,"On Time","Delayed"))</f>
        <v/>
      </c>
      <c r="I72" s="3" t="str">
        <f>IF(G72="","",IF(G72&lt;30,"Low",IF(G72&lt;70,"Medium","High")))</f>
        <v/>
      </c>
      <c r="J72" s="3" t="str">
        <f>IF(D72="","",IF(VALUE(LEFT(D72,2))&lt;6,"Night",IF(VALUE(LEFT(D72,2))&lt;12,"Morning",IF(VALUE(LEFT(D72,2))&lt;17,"Afternoon",IF(VALUE(LEFT(D72,2))&lt;21,"Evening","Night")))))</f>
        <v/>
      </c>
      <c r="K72" s="3" t="str">
        <f>IF(F72="","",IF(F72&lt;=5,"0-5 min",IF(F72&lt;=15,"6-15 min",IF(F72&lt;=25,"16-25 min","26+ min"))))</f>
        <v/>
      </c>
    </row>
    <row r="73" spans="8:11" x14ac:dyDescent="0.2">
      <c r="H73" s="3" t="str">
        <f>IF(F73="","",IF(F73&lt;=5,"On Time","Delayed"))</f>
        <v/>
      </c>
      <c r="I73" s="3" t="str">
        <f>IF(G73="","",IF(G73&lt;30,"Low",IF(G73&lt;70,"Medium","High")))</f>
        <v/>
      </c>
      <c r="J73" s="3" t="str">
        <f>IF(D73="","",IF(VALUE(LEFT(D73,2))&lt;6,"Night",IF(VALUE(LEFT(D73,2))&lt;12,"Morning",IF(VALUE(LEFT(D73,2))&lt;17,"Afternoon",IF(VALUE(LEFT(D73,2))&lt;21,"Evening","Night")))))</f>
        <v/>
      </c>
      <c r="K73" s="3" t="str">
        <f>IF(F73="","",IF(F73&lt;=5,"0-5 min",IF(F73&lt;=15,"6-15 min",IF(F73&lt;=25,"16-25 min","26+ min"))))</f>
        <v/>
      </c>
    </row>
    <row r="74" spans="8:11" x14ac:dyDescent="0.2">
      <c r="H74" s="3" t="str">
        <f>IF(F74="","",IF(F74&lt;=5,"On Time","Delayed"))</f>
        <v/>
      </c>
      <c r="I74" s="3" t="str">
        <f>IF(G74="","",IF(G74&lt;30,"Low",IF(G74&lt;70,"Medium","High")))</f>
        <v/>
      </c>
      <c r="J74" s="3" t="str">
        <f>IF(D74="","",IF(VALUE(LEFT(D74,2))&lt;6,"Night",IF(VALUE(LEFT(D74,2))&lt;12,"Morning",IF(VALUE(LEFT(D74,2))&lt;17,"Afternoon",IF(VALUE(LEFT(D74,2))&lt;21,"Evening","Night")))))</f>
        <v/>
      </c>
      <c r="K74" s="3" t="str">
        <f>IF(F74="","",IF(F74&lt;=5,"0-5 min",IF(F74&lt;=15,"6-15 min",IF(F74&lt;=25,"16-25 min","26+ min"))))</f>
        <v/>
      </c>
    </row>
    <row r="75" spans="8:11" x14ac:dyDescent="0.2">
      <c r="H75" s="3" t="str">
        <f>IF(F75="","",IF(F75&lt;=5,"On Time","Delayed"))</f>
        <v/>
      </c>
      <c r="I75" s="3" t="str">
        <f>IF(G75="","",IF(G75&lt;30,"Low",IF(G75&lt;70,"Medium","High")))</f>
        <v/>
      </c>
      <c r="J75" s="3" t="str">
        <f>IF(D75="","",IF(VALUE(LEFT(D75,2))&lt;6,"Night",IF(VALUE(LEFT(D75,2))&lt;12,"Morning",IF(VALUE(LEFT(D75,2))&lt;17,"Afternoon",IF(VALUE(LEFT(D75,2))&lt;21,"Evening","Night")))))</f>
        <v/>
      </c>
      <c r="K75" s="3" t="str">
        <f>IF(F75="","",IF(F75&lt;=5,"0-5 min",IF(F75&lt;=15,"6-15 min",IF(F75&lt;=25,"16-25 min","26+ min"))))</f>
        <v/>
      </c>
    </row>
    <row r="76" spans="8:11" x14ac:dyDescent="0.2">
      <c r="H76" s="3" t="str">
        <f>IF(F76="","",IF(F76&lt;=5,"On Time","Delayed"))</f>
        <v/>
      </c>
      <c r="I76" s="3" t="str">
        <f>IF(G76="","",IF(G76&lt;30,"Low",IF(G76&lt;70,"Medium","High")))</f>
        <v/>
      </c>
      <c r="J76" s="3" t="str">
        <f>IF(D76="","",IF(VALUE(LEFT(D76,2))&lt;6,"Night",IF(VALUE(LEFT(D76,2))&lt;12,"Morning",IF(VALUE(LEFT(D76,2))&lt;17,"Afternoon",IF(VALUE(LEFT(D76,2))&lt;21,"Evening","Night")))))</f>
        <v/>
      </c>
      <c r="K76" s="3" t="str">
        <f>IF(F76="","",IF(F76&lt;=5,"0-5 min",IF(F76&lt;=15,"6-15 min",IF(F76&lt;=25,"16-25 min","26+ min"))))</f>
        <v/>
      </c>
    </row>
    <row r="77" spans="8:11" x14ac:dyDescent="0.2">
      <c r="H77" s="3" t="str">
        <f>IF(F77="","",IF(F77&lt;=5,"On Time","Delayed"))</f>
        <v/>
      </c>
      <c r="I77" s="3" t="str">
        <f>IF(G77="","",IF(G77&lt;30,"Low",IF(G77&lt;70,"Medium","High")))</f>
        <v/>
      </c>
      <c r="J77" s="3" t="str">
        <f>IF(D77="","",IF(VALUE(LEFT(D77,2))&lt;6,"Night",IF(VALUE(LEFT(D77,2))&lt;12,"Morning",IF(VALUE(LEFT(D77,2))&lt;17,"Afternoon",IF(VALUE(LEFT(D77,2))&lt;21,"Evening","Night")))))</f>
        <v/>
      </c>
      <c r="K77" s="3" t="str">
        <f>IF(F77="","",IF(F77&lt;=5,"0-5 min",IF(F77&lt;=15,"6-15 min",IF(F77&lt;=25,"16-25 min","26+ min"))))</f>
        <v/>
      </c>
    </row>
    <row r="78" spans="8:11" x14ac:dyDescent="0.2">
      <c r="H78" s="3" t="str">
        <f>IF(F78="","",IF(F78&lt;=5,"On Time","Delayed"))</f>
        <v/>
      </c>
      <c r="I78" s="3" t="str">
        <f>IF(G78="","",IF(G78&lt;30,"Low",IF(G78&lt;70,"Medium","High")))</f>
        <v/>
      </c>
      <c r="J78" s="3" t="str">
        <f>IF(D78="","",IF(VALUE(LEFT(D78,2))&lt;6,"Night",IF(VALUE(LEFT(D78,2))&lt;12,"Morning",IF(VALUE(LEFT(D78,2))&lt;17,"Afternoon",IF(VALUE(LEFT(D78,2))&lt;21,"Evening","Night")))))</f>
        <v/>
      </c>
      <c r="K78" s="3" t="str">
        <f>IF(F78="","",IF(F78&lt;=5,"0-5 min",IF(F78&lt;=15,"6-15 min",IF(F78&lt;=25,"16-25 min","26+ min"))))</f>
        <v/>
      </c>
    </row>
    <row r="79" spans="8:11" x14ac:dyDescent="0.2">
      <c r="H79" s="3" t="str">
        <f>IF(F79="","",IF(F79&lt;=5,"On Time","Delayed"))</f>
        <v/>
      </c>
      <c r="I79" s="3" t="str">
        <f>IF(G79="","",IF(G79&lt;30,"Low",IF(G79&lt;70,"Medium","High")))</f>
        <v/>
      </c>
      <c r="J79" s="3" t="str">
        <f>IF(D79="","",IF(VALUE(LEFT(D79,2))&lt;6,"Night",IF(VALUE(LEFT(D79,2))&lt;12,"Morning",IF(VALUE(LEFT(D79,2))&lt;17,"Afternoon",IF(VALUE(LEFT(D79,2))&lt;21,"Evening","Night")))))</f>
        <v/>
      </c>
      <c r="K79" s="3" t="str">
        <f>IF(F79="","",IF(F79&lt;=5,"0-5 min",IF(F79&lt;=15,"6-15 min",IF(F79&lt;=25,"16-25 min","26+ min"))))</f>
        <v/>
      </c>
    </row>
    <row r="80" spans="8:11" x14ac:dyDescent="0.2">
      <c r="H80" s="3" t="str">
        <f>IF(F80="","",IF(F80&lt;=5,"On Time","Delayed"))</f>
        <v/>
      </c>
      <c r="I80" s="3" t="str">
        <f>IF(G80="","",IF(G80&lt;30,"Low",IF(G80&lt;70,"Medium","High")))</f>
        <v/>
      </c>
      <c r="J80" s="3" t="str">
        <f>IF(D80="","",IF(VALUE(LEFT(D80,2))&lt;6,"Night",IF(VALUE(LEFT(D80,2))&lt;12,"Morning",IF(VALUE(LEFT(D80,2))&lt;17,"Afternoon",IF(VALUE(LEFT(D80,2))&lt;21,"Evening","Night")))))</f>
        <v/>
      </c>
      <c r="K80" s="3" t="str">
        <f>IF(F80="","",IF(F80&lt;=5,"0-5 min",IF(F80&lt;=15,"6-15 min",IF(F80&lt;=25,"16-25 min","26+ min"))))</f>
        <v/>
      </c>
    </row>
    <row r="81" spans="8:11" x14ac:dyDescent="0.2">
      <c r="H81" s="3" t="str">
        <f>IF(F81="","",IF(F81&lt;=5,"On Time","Delayed"))</f>
        <v/>
      </c>
      <c r="I81" s="3" t="str">
        <f>IF(G81="","",IF(G81&lt;30,"Low",IF(G81&lt;70,"Medium","High")))</f>
        <v/>
      </c>
      <c r="J81" s="3" t="str">
        <f>IF(D81="","",IF(VALUE(LEFT(D81,2))&lt;6,"Night",IF(VALUE(LEFT(D81,2))&lt;12,"Morning",IF(VALUE(LEFT(D81,2))&lt;17,"Afternoon",IF(VALUE(LEFT(D81,2))&lt;21,"Evening","Night")))))</f>
        <v/>
      </c>
      <c r="K81" s="3" t="str">
        <f>IF(F81="","",IF(F81&lt;=5,"0-5 min",IF(F81&lt;=15,"6-15 min",IF(F81&lt;=25,"16-25 min","26+ min"))))</f>
        <v/>
      </c>
    </row>
    <row r="82" spans="8:11" x14ac:dyDescent="0.2">
      <c r="H82" s="3" t="str">
        <f>IF(F82="","",IF(F82&lt;=5,"On Time","Delayed"))</f>
        <v/>
      </c>
      <c r="I82" s="3" t="str">
        <f>IF(G82="","",IF(G82&lt;30,"Low",IF(G82&lt;70,"Medium","High")))</f>
        <v/>
      </c>
      <c r="J82" s="3" t="str">
        <f>IF(D82="","",IF(VALUE(LEFT(D82,2))&lt;6,"Night",IF(VALUE(LEFT(D82,2))&lt;12,"Morning",IF(VALUE(LEFT(D82,2))&lt;17,"Afternoon",IF(VALUE(LEFT(D82,2))&lt;21,"Evening","Night")))))</f>
        <v/>
      </c>
      <c r="K82" s="3" t="str">
        <f>IF(F82="","",IF(F82&lt;=5,"0-5 min",IF(F82&lt;=15,"6-15 min",IF(F82&lt;=25,"16-25 min","26+ min"))))</f>
        <v/>
      </c>
    </row>
    <row r="83" spans="8:11" x14ac:dyDescent="0.2">
      <c r="H83" s="3" t="str">
        <f>IF(F83="","",IF(F83&lt;=5,"On Time","Delayed"))</f>
        <v/>
      </c>
      <c r="I83" s="3" t="str">
        <f>IF(G83="","",IF(G83&lt;30,"Low",IF(G83&lt;70,"Medium","High")))</f>
        <v/>
      </c>
      <c r="J83" s="3" t="str">
        <f>IF(D83="","",IF(VALUE(LEFT(D83,2))&lt;6,"Night",IF(VALUE(LEFT(D83,2))&lt;12,"Morning",IF(VALUE(LEFT(D83,2))&lt;17,"Afternoon",IF(VALUE(LEFT(D83,2))&lt;21,"Evening","Night")))))</f>
        <v/>
      </c>
      <c r="K83" s="3" t="str">
        <f>IF(F83="","",IF(F83&lt;=5,"0-5 min",IF(F83&lt;=15,"6-15 min",IF(F83&lt;=25,"16-25 min","26+ min"))))</f>
        <v/>
      </c>
    </row>
    <row r="84" spans="8:11" x14ac:dyDescent="0.2">
      <c r="H84" s="3" t="str">
        <f>IF(F84="","",IF(F84&lt;=5,"On Time","Delayed"))</f>
        <v/>
      </c>
      <c r="I84" s="3" t="str">
        <f>IF(G84="","",IF(G84&lt;30,"Low",IF(G84&lt;70,"Medium","High")))</f>
        <v/>
      </c>
      <c r="J84" s="3" t="str">
        <f>IF(D84="","",IF(VALUE(LEFT(D84,2))&lt;6,"Night",IF(VALUE(LEFT(D84,2))&lt;12,"Morning",IF(VALUE(LEFT(D84,2))&lt;17,"Afternoon",IF(VALUE(LEFT(D84,2))&lt;21,"Evening","Night")))))</f>
        <v/>
      </c>
      <c r="K84" s="3" t="str">
        <f>IF(F84="","",IF(F84&lt;=5,"0-5 min",IF(F84&lt;=15,"6-15 min",IF(F84&lt;=25,"16-25 min","26+ min"))))</f>
        <v/>
      </c>
    </row>
    <row r="85" spans="8:11" x14ac:dyDescent="0.2">
      <c r="H85" s="3" t="str">
        <f>IF(F85="","",IF(F85&lt;=5,"On Time","Delayed"))</f>
        <v/>
      </c>
      <c r="I85" s="3" t="str">
        <f>IF(G85="","",IF(G85&lt;30,"Low",IF(G85&lt;70,"Medium","High")))</f>
        <v/>
      </c>
      <c r="J85" s="3" t="str">
        <f>IF(D85="","",IF(VALUE(LEFT(D85,2))&lt;6,"Night",IF(VALUE(LEFT(D85,2))&lt;12,"Morning",IF(VALUE(LEFT(D85,2))&lt;17,"Afternoon",IF(VALUE(LEFT(D85,2))&lt;21,"Evening","Night")))))</f>
        <v/>
      </c>
      <c r="K85" s="3" t="str">
        <f>IF(F85="","",IF(F85&lt;=5,"0-5 min",IF(F85&lt;=15,"6-15 min",IF(F85&lt;=25,"16-25 min","26+ min"))))</f>
        <v/>
      </c>
    </row>
    <row r="86" spans="8:11" x14ac:dyDescent="0.2">
      <c r="H86" s="3" t="str">
        <f>IF(F86="","",IF(F86&lt;=5,"On Time","Delayed"))</f>
        <v/>
      </c>
      <c r="I86" s="3" t="str">
        <f>IF(G86="","",IF(G86&lt;30,"Low",IF(G86&lt;70,"Medium","High")))</f>
        <v/>
      </c>
      <c r="J86" s="3" t="str">
        <f>IF(D86="","",IF(VALUE(LEFT(D86,2))&lt;6,"Night",IF(VALUE(LEFT(D86,2))&lt;12,"Morning",IF(VALUE(LEFT(D86,2))&lt;17,"Afternoon",IF(VALUE(LEFT(D86,2))&lt;21,"Evening","Night")))))</f>
        <v/>
      </c>
      <c r="K86" s="3" t="str">
        <f>IF(F86="","",IF(F86&lt;=5,"0-5 min",IF(F86&lt;=15,"6-15 min",IF(F86&lt;=25,"16-25 min","26+ min"))))</f>
        <v/>
      </c>
    </row>
    <row r="87" spans="8:11" x14ac:dyDescent="0.2">
      <c r="H87" s="3" t="str">
        <f>IF(F87="","",IF(F87&lt;=5,"On Time","Delayed"))</f>
        <v/>
      </c>
      <c r="I87" s="3" t="str">
        <f>IF(G87="","",IF(G87&lt;30,"Low",IF(G87&lt;70,"Medium","High")))</f>
        <v/>
      </c>
      <c r="J87" s="3" t="str">
        <f>IF(D87="","",IF(VALUE(LEFT(D87,2))&lt;6,"Night",IF(VALUE(LEFT(D87,2))&lt;12,"Morning",IF(VALUE(LEFT(D87,2))&lt;17,"Afternoon",IF(VALUE(LEFT(D87,2))&lt;21,"Evening","Night")))))</f>
        <v/>
      </c>
      <c r="K87" s="3" t="str">
        <f>IF(F87="","",IF(F87&lt;=5,"0-5 min",IF(F87&lt;=15,"6-15 min",IF(F87&lt;=25,"16-25 min","26+ min"))))</f>
        <v/>
      </c>
    </row>
    <row r="88" spans="8:11" x14ac:dyDescent="0.2">
      <c r="H88" s="3" t="str">
        <f>IF(F88="","",IF(F88&lt;=5,"On Time","Delayed"))</f>
        <v/>
      </c>
      <c r="I88" s="3" t="str">
        <f>IF(G88="","",IF(G88&lt;30,"Low",IF(G88&lt;70,"Medium","High")))</f>
        <v/>
      </c>
      <c r="J88" s="3" t="str">
        <f>IF(D88="","",IF(VALUE(LEFT(D88,2))&lt;6,"Night",IF(VALUE(LEFT(D88,2))&lt;12,"Morning",IF(VALUE(LEFT(D88,2))&lt;17,"Afternoon",IF(VALUE(LEFT(D88,2))&lt;21,"Evening","Night")))))</f>
        <v/>
      </c>
      <c r="K88" s="3" t="str">
        <f>IF(F88="","",IF(F88&lt;=5,"0-5 min",IF(F88&lt;=15,"6-15 min",IF(F88&lt;=25,"16-25 min","26+ min"))))</f>
        <v/>
      </c>
    </row>
    <row r="89" spans="8:11" x14ac:dyDescent="0.2">
      <c r="H89" s="3" t="str">
        <f>IF(F89="","",IF(F89&lt;=5,"On Time","Delayed"))</f>
        <v/>
      </c>
      <c r="I89" s="3" t="str">
        <f>IF(G89="","",IF(G89&lt;30,"Low",IF(G89&lt;70,"Medium","High")))</f>
        <v/>
      </c>
      <c r="J89" s="3" t="str">
        <f>IF(D89="","",IF(VALUE(LEFT(D89,2))&lt;6,"Night",IF(VALUE(LEFT(D89,2))&lt;12,"Morning",IF(VALUE(LEFT(D89,2))&lt;17,"Afternoon",IF(VALUE(LEFT(D89,2))&lt;21,"Evening","Night")))))</f>
        <v/>
      </c>
      <c r="K89" s="3" t="str">
        <f>IF(F89="","",IF(F89&lt;=5,"0-5 min",IF(F89&lt;=15,"6-15 min",IF(F89&lt;=25,"16-25 min","26+ min"))))</f>
        <v/>
      </c>
    </row>
    <row r="90" spans="8:11" x14ac:dyDescent="0.2">
      <c r="H90" s="3" t="str">
        <f>IF(F90="","",IF(F90&lt;=5,"On Time","Delayed"))</f>
        <v/>
      </c>
      <c r="I90" s="3" t="str">
        <f>IF(G90="","",IF(G90&lt;30,"Low",IF(G90&lt;70,"Medium","High")))</f>
        <v/>
      </c>
      <c r="J90" s="3" t="str">
        <f>IF(D90="","",IF(VALUE(LEFT(D90,2))&lt;6,"Night",IF(VALUE(LEFT(D90,2))&lt;12,"Morning",IF(VALUE(LEFT(D90,2))&lt;17,"Afternoon",IF(VALUE(LEFT(D90,2))&lt;21,"Evening","Night")))))</f>
        <v/>
      </c>
      <c r="K90" s="3" t="str">
        <f>IF(F90="","",IF(F90&lt;=5,"0-5 min",IF(F90&lt;=15,"6-15 min",IF(F90&lt;=25,"16-25 min","26+ min"))))</f>
        <v/>
      </c>
    </row>
    <row r="91" spans="8:11" x14ac:dyDescent="0.2">
      <c r="H91" s="3" t="str">
        <f>IF(F91="","",IF(F91&lt;=5,"On Time","Delayed"))</f>
        <v/>
      </c>
      <c r="I91" s="3" t="str">
        <f>IF(G91="","",IF(G91&lt;30,"Low",IF(G91&lt;70,"Medium","High")))</f>
        <v/>
      </c>
      <c r="J91" s="3" t="str">
        <f>IF(D91="","",IF(VALUE(LEFT(D91,2))&lt;6,"Night",IF(VALUE(LEFT(D91,2))&lt;12,"Morning",IF(VALUE(LEFT(D91,2))&lt;17,"Afternoon",IF(VALUE(LEFT(D91,2))&lt;21,"Evening","Night")))))</f>
        <v/>
      </c>
      <c r="K91" s="3" t="str">
        <f>IF(F91="","",IF(F91&lt;=5,"0-5 min",IF(F91&lt;=15,"6-15 min",IF(F91&lt;=25,"16-25 min","26+ min"))))</f>
        <v/>
      </c>
    </row>
    <row r="92" spans="8:11" x14ac:dyDescent="0.2">
      <c r="H92" s="3" t="str">
        <f>IF(F92="","",IF(F92&lt;=5,"On Time","Delayed"))</f>
        <v/>
      </c>
      <c r="I92" s="3" t="str">
        <f>IF(G92="","",IF(G92&lt;30,"Low",IF(G92&lt;70,"Medium","High")))</f>
        <v/>
      </c>
      <c r="J92" s="3" t="str">
        <f>IF(D92="","",IF(VALUE(LEFT(D92,2))&lt;6,"Night",IF(VALUE(LEFT(D92,2))&lt;12,"Morning",IF(VALUE(LEFT(D92,2))&lt;17,"Afternoon",IF(VALUE(LEFT(D92,2))&lt;21,"Evening","Night")))))</f>
        <v/>
      </c>
      <c r="K92" s="3" t="str">
        <f>IF(F92="","",IF(F92&lt;=5,"0-5 min",IF(F92&lt;=15,"6-15 min",IF(F92&lt;=25,"16-25 min","26+ min"))))</f>
        <v/>
      </c>
    </row>
    <row r="93" spans="8:11" x14ac:dyDescent="0.2">
      <c r="H93" s="3" t="str">
        <f>IF(F93="","",IF(F93&lt;=5,"On Time","Delayed"))</f>
        <v/>
      </c>
      <c r="I93" s="3" t="str">
        <f>IF(G93="","",IF(G93&lt;30,"Low",IF(G93&lt;70,"Medium","High")))</f>
        <v/>
      </c>
      <c r="J93" s="3" t="str">
        <f>IF(D93="","",IF(VALUE(LEFT(D93,2))&lt;6,"Night",IF(VALUE(LEFT(D93,2))&lt;12,"Morning",IF(VALUE(LEFT(D93,2))&lt;17,"Afternoon",IF(VALUE(LEFT(D93,2))&lt;21,"Evening","Night")))))</f>
        <v/>
      </c>
      <c r="K93" s="3" t="str">
        <f>IF(F93="","",IF(F93&lt;=5,"0-5 min",IF(F93&lt;=15,"6-15 min",IF(F93&lt;=25,"16-25 min","26+ min"))))</f>
        <v/>
      </c>
    </row>
    <row r="94" spans="8:11" x14ac:dyDescent="0.2">
      <c r="H94" s="3" t="str">
        <f>IF(F94="","",IF(F94&lt;=5,"On Time","Delayed"))</f>
        <v/>
      </c>
      <c r="I94" s="3" t="str">
        <f>IF(G94="","",IF(G94&lt;30,"Low",IF(G94&lt;70,"Medium","High")))</f>
        <v/>
      </c>
      <c r="J94" s="3" t="str">
        <f>IF(D94="","",IF(VALUE(LEFT(D94,2))&lt;6,"Night",IF(VALUE(LEFT(D94,2))&lt;12,"Morning",IF(VALUE(LEFT(D94,2))&lt;17,"Afternoon",IF(VALUE(LEFT(D94,2))&lt;21,"Evening","Night")))))</f>
        <v/>
      </c>
      <c r="K94" s="3" t="str">
        <f>IF(F94="","",IF(F94&lt;=5,"0-5 min",IF(F94&lt;=15,"6-15 min",IF(F94&lt;=25,"16-25 min","26+ min"))))</f>
        <v/>
      </c>
    </row>
    <row r="95" spans="8:11" x14ac:dyDescent="0.2">
      <c r="H95" s="3" t="str">
        <f>IF(F95="","",IF(F95&lt;=5,"On Time","Delayed"))</f>
        <v/>
      </c>
      <c r="I95" s="3" t="str">
        <f>IF(G95="","",IF(G95&lt;30,"Low",IF(G95&lt;70,"Medium","High")))</f>
        <v/>
      </c>
      <c r="J95" s="3" t="str">
        <f>IF(D95="","",IF(VALUE(LEFT(D95,2))&lt;6,"Night",IF(VALUE(LEFT(D95,2))&lt;12,"Morning",IF(VALUE(LEFT(D95,2))&lt;17,"Afternoon",IF(VALUE(LEFT(D95,2))&lt;21,"Evening","Night")))))</f>
        <v/>
      </c>
      <c r="K95" s="3" t="str">
        <f>IF(F95="","",IF(F95&lt;=5,"0-5 min",IF(F95&lt;=15,"6-15 min",IF(F95&lt;=25,"16-25 min","26+ min"))))</f>
        <v/>
      </c>
    </row>
    <row r="96" spans="8:11" x14ac:dyDescent="0.2">
      <c r="H96" s="3" t="str">
        <f>IF(F96="","",IF(F96&lt;=5,"On Time","Delayed"))</f>
        <v/>
      </c>
      <c r="I96" s="3" t="str">
        <f>IF(G96="","",IF(G96&lt;30,"Low",IF(G96&lt;70,"Medium","High")))</f>
        <v/>
      </c>
      <c r="J96" s="3" t="str">
        <f>IF(D96="","",IF(VALUE(LEFT(D96,2))&lt;6,"Night",IF(VALUE(LEFT(D96,2))&lt;12,"Morning",IF(VALUE(LEFT(D96,2))&lt;17,"Afternoon",IF(VALUE(LEFT(D96,2))&lt;21,"Evening","Night")))))</f>
        <v/>
      </c>
      <c r="K96" s="3" t="str">
        <f>IF(F96="","",IF(F96&lt;=5,"0-5 min",IF(F96&lt;=15,"6-15 min",IF(F96&lt;=25,"16-25 min","26+ min"))))</f>
        <v/>
      </c>
    </row>
    <row r="97" spans="8:11" x14ac:dyDescent="0.2">
      <c r="H97" s="3" t="str">
        <f>IF(F97="","",IF(F97&lt;=5,"On Time","Delayed"))</f>
        <v/>
      </c>
      <c r="I97" s="3" t="str">
        <f>IF(G97="","",IF(G97&lt;30,"Low",IF(G97&lt;70,"Medium","High")))</f>
        <v/>
      </c>
      <c r="J97" s="3" t="str">
        <f>IF(D97="","",IF(VALUE(LEFT(D97,2))&lt;6,"Night",IF(VALUE(LEFT(D97,2))&lt;12,"Morning",IF(VALUE(LEFT(D97,2))&lt;17,"Afternoon",IF(VALUE(LEFT(D97,2))&lt;21,"Evening","Night")))))</f>
        <v/>
      </c>
      <c r="K97" s="3" t="str">
        <f>IF(F97="","",IF(F97&lt;=5,"0-5 min",IF(F97&lt;=15,"6-15 min",IF(F97&lt;=25,"16-25 min","26+ min"))))</f>
        <v/>
      </c>
    </row>
    <row r="98" spans="8:11" x14ac:dyDescent="0.2">
      <c r="H98" s="3" t="str">
        <f>IF(F98="","",IF(F98&lt;=5,"On Time","Delayed"))</f>
        <v/>
      </c>
      <c r="I98" s="3" t="str">
        <f>IF(G98="","",IF(G98&lt;30,"Low",IF(G98&lt;70,"Medium","High")))</f>
        <v/>
      </c>
      <c r="J98" s="3" t="str">
        <f>IF(D98="","",IF(VALUE(LEFT(D98,2))&lt;6,"Night",IF(VALUE(LEFT(D98,2))&lt;12,"Morning",IF(VALUE(LEFT(D98,2))&lt;17,"Afternoon",IF(VALUE(LEFT(D98,2))&lt;21,"Evening","Night")))))</f>
        <v/>
      </c>
      <c r="K98" s="3" t="str">
        <f>IF(F98="","",IF(F98&lt;=5,"0-5 min",IF(F98&lt;=15,"6-15 min",IF(F98&lt;=25,"16-25 min","26+ min"))))</f>
        <v/>
      </c>
    </row>
    <row r="99" spans="8:11" x14ac:dyDescent="0.2">
      <c r="H99" s="3" t="str">
        <f>IF(F99="","",IF(F99&lt;=5,"On Time","Delayed"))</f>
        <v/>
      </c>
      <c r="I99" s="3" t="str">
        <f>IF(G99="","",IF(G99&lt;30,"Low",IF(G99&lt;70,"Medium","High")))</f>
        <v/>
      </c>
      <c r="J99" s="3" t="str">
        <f>IF(D99="","",IF(VALUE(LEFT(D99,2))&lt;6,"Night",IF(VALUE(LEFT(D99,2))&lt;12,"Morning",IF(VALUE(LEFT(D99,2))&lt;17,"Afternoon",IF(VALUE(LEFT(D99,2))&lt;21,"Evening","Night")))))</f>
        <v/>
      </c>
      <c r="K99" s="3" t="str">
        <f>IF(F99="","",IF(F99&lt;=5,"0-5 min",IF(F99&lt;=15,"6-15 min",IF(F99&lt;=25,"16-25 min","26+ min"))))</f>
        <v/>
      </c>
    </row>
    <row r="100" spans="8:11" x14ac:dyDescent="0.2">
      <c r="H100" s="3" t="str">
        <f>IF(F100="","",IF(F100&lt;=5,"On Time","Delayed"))</f>
        <v/>
      </c>
      <c r="I100" s="3" t="str">
        <f>IF(G100="","",IF(G100&lt;30,"Low",IF(G100&lt;70,"Medium","High")))</f>
        <v/>
      </c>
      <c r="J100" s="3" t="str">
        <f>IF(D100="","",IF(VALUE(LEFT(D100,2))&lt;6,"Night",IF(VALUE(LEFT(D100,2))&lt;12,"Morning",IF(VALUE(LEFT(D100,2))&lt;17,"Afternoon",IF(VALUE(LEFT(D100,2))&lt;21,"Evening","Night")))))</f>
        <v/>
      </c>
      <c r="K100" s="3" t="str">
        <f>IF(F100="","",IF(F100&lt;=5,"0-5 min",IF(F100&lt;=15,"6-15 min",IF(F100&lt;=25,"16-25 min","26+ min"))))</f>
        <v/>
      </c>
    </row>
    <row r="101" spans="8:11" x14ac:dyDescent="0.2">
      <c r="H101" s="3" t="str">
        <f>IF(F101="","",IF(F101&lt;=5,"On Time","Delayed"))</f>
        <v/>
      </c>
      <c r="I101" s="3" t="str">
        <f>IF(G101="","",IF(G101&lt;30,"Low",IF(G101&lt;70,"Medium","High")))</f>
        <v/>
      </c>
      <c r="J101" s="3" t="str">
        <f>IF(D101="","",IF(VALUE(LEFT(D101,2))&lt;6,"Night",IF(VALUE(LEFT(D101,2))&lt;12,"Morning",IF(VALUE(LEFT(D101,2))&lt;17,"Afternoon",IF(VALUE(LEFT(D101,2))&lt;21,"Evening","Night")))))</f>
        <v/>
      </c>
      <c r="K101" s="3" t="str">
        <f>IF(F101="","",IF(F101&lt;=5,"0-5 min",IF(F101&lt;=15,"6-15 min",IF(F101&lt;=25,"16-25 min","26+ min"))))</f>
        <v/>
      </c>
    </row>
    <row r="102" spans="8:11" x14ac:dyDescent="0.2">
      <c r="H102" s="3" t="str">
        <f>IF(F102="","",IF(F102&lt;=5,"On Time","Delayed"))</f>
        <v/>
      </c>
      <c r="I102" s="3" t="str">
        <f>IF(G102="","",IF(G102&lt;30,"Low",IF(G102&lt;70,"Medium","High")))</f>
        <v/>
      </c>
      <c r="J102" s="3" t="str">
        <f>IF(D102="","",IF(VALUE(LEFT(D102,2))&lt;6,"Night",IF(VALUE(LEFT(D102,2))&lt;12,"Morning",IF(VALUE(LEFT(D102,2))&lt;17,"Afternoon",IF(VALUE(LEFT(D102,2))&lt;21,"Evening","Night")))))</f>
        <v/>
      </c>
      <c r="K102" s="3" t="str">
        <f>IF(F102="","",IF(F102&lt;=5,"0-5 min",IF(F102&lt;=15,"6-15 min",IF(F102&lt;=25,"16-25 min","26+ min"))))</f>
        <v/>
      </c>
    </row>
    <row r="103" spans="8:11" x14ac:dyDescent="0.2">
      <c r="H103" s="3" t="str">
        <f>IF(F103="","",IF(F103&lt;=5,"On Time","Delayed"))</f>
        <v/>
      </c>
      <c r="I103" s="3" t="str">
        <f>IF(G103="","",IF(G103&lt;30,"Low",IF(G103&lt;70,"Medium","High")))</f>
        <v/>
      </c>
      <c r="J103" s="3" t="str">
        <f>IF(D103="","",IF(VALUE(LEFT(D103,2))&lt;6,"Night",IF(VALUE(LEFT(D103,2))&lt;12,"Morning",IF(VALUE(LEFT(D103,2))&lt;17,"Afternoon",IF(VALUE(LEFT(D103,2))&lt;21,"Evening","Night")))))</f>
        <v/>
      </c>
      <c r="K103" s="3" t="str">
        <f>IF(F103="","",IF(F103&lt;=5,"0-5 min",IF(F103&lt;=15,"6-15 min",IF(F103&lt;=25,"16-25 min","26+ min"))))</f>
        <v/>
      </c>
    </row>
    <row r="104" spans="8:11" x14ac:dyDescent="0.2">
      <c r="H104" s="3" t="str">
        <f>IF(F104="","",IF(F104&lt;=5,"On Time","Delayed"))</f>
        <v/>
      </c>
      <c r="I104" s="3" t="str">
        <f>IF(G104="","",IF(G104&lt;30,"Low",IF(G104&lt;70,"Medium","High")))</f>
        <v/>
      </c>
      <c r="J104" s="3" t="str">
        <f>IF(D104="","",IF(VALUE(LEFT(D104,2))&lt;6,"Night",IF(VALUE(LEFT(D104,2))&lt;12,"Morning",IF(VALUE(LEFT(D104,2))&lt;17,"Afternoon",IF(VALUE(LEFT(D104,2))&lt;21,"Evening","Night")))))</f>
        <v/>
      </c>
      <c r="K104" s="3" t="str">
        <f>IF(F104="","",IF(F104&lt;=5,"0-5 min",IF(F104&lt;=15,"6-15 min",IF(F104&lt;=25,"16-25 min","26+ min"))))</f>
        <v/>
      </c>
    </row>
    <row r="105" spans="8:11" x14ac:dyDescent="0.2">
      <c r="H105" s="3" t="str">
        <f>IF(F105="","",IF(F105&lt;=5,"On Time","Delayed"))</f>
        <v/>
      </c>
      <c r="I105" s="3" t="str">
        <f>IF(G105="","",IF(G105&lt;30,"Low",IF(G105&lt;70,"Medium","High")))</f>
        <v/>
      </c>
      <c r="J105" s="3" t="str">
        <f>IF(D105="","",IF(VALUE(LEFT(D105,2))&lt;6,"Night",IF(VALUE(LEFT(D105,2))&lt;12,"Morning",IF(VALUE(LEFT(D105,2))&lt;17,"Afternoon",IF(VALUE(LEFT(D105,2))&lt;21,"Evening","Night")))))</f>
        <v/>
      </c>
      <c r="K105" s="3" t="str">
        <f>IF(F105="","",IF(F105&lt;=5,"0-5 min",IF(F105&lt;=15,"6-15 min",IF(F105&lt;=25,"16-25 min","26+ min"))))</f>
        <v/>
      </c>
    </row>
    <row r="106" spans="8:11" x14ac:dyDescent="0.2">
      <c r="H106" s="3" t="str">
        <f>IF(F106="","",IF(F106&lt;=5,"On Time","Delayed"))</f>
        <v/>
      </c>
      <c r="I106" s="3" t="str">
        <f>IF(G106="","",IF(G106&lt;30,"Low",IF(G106&lt;70,"Medium","High")))</f>
        <v/>
      </c>
      <c r="J106" s="3" t="str">
        <f>IF(D106="","",IF(VALUE(LEFT(D106,2))&lt;6,"Night",IF(VALUE(LEFT(D106,2))&lt;12,"Morning",IF(VALUE(LEFT(D106,2))&lt;17,"Afternoon",IF(VALUE(LEFT(D106,2))&lt;21,"Evening","Night")))))</f>
        <v/>
      </c>
      <c r="K106" s="3" t="str">
        <f>IF(F106="","",IF(F106&lt;=5,"0-5 min",IF(F106&lt;=15,"6-15 min",IF(F106&lt;=25,"16-25 min","26+ min"))))</f>
        <v/>
      </c>
    </row>
    <row r="107" spans="8:11" x14ac:dyDescent="0.2">
      <c r="H107" s="3" t="str">
        <f>IF(F107="","",IF(F107&lt;=5,"On Time","Delayed"))</f>
        <v/>
      </c>
      <c r="I107" s="3" t="str">
        <f>IF(G107="","",IF(G107&lt;30,"Low",IF(G107&lt;70,"Medium","High")))</f>
        <v/>
      </c>
      <c r="J107" s="3" t="str">
        <f>IF(D107="","",IF(VALUE(LEFT(D107,2))&lt;6,"Night",IF(VALUE(LEFT(D107,2))&lt;12,"Morning",IF(VALUE(LEFT(D107,2))&lt;17,"Afternoon",IF(VALUE(LEFT(D107,2))&lt;21,"Evening","Night")))))</f>
        <v/>
      </c>
      <c r="K107" s="3" t="str">
        <f>IF(F107="","",IF(F107&lt;=5,"0-5 min",IF(F107&lt;=15,"6-15 min",IF(F107&lt;=25,"16-25 min","26+ min"))))</f>
        <v/>
      </c>
    </row>
    <row r="108" spans="8:11" x14ac:dyDescent="0.2">
      <c r="H108" s="3" t="str">
        <f>IF(F108="","",IF(F108&lt;=5,"On Time","Delayed"))</f>
        <v/>
      </c>
      <c r="I108" s="3" t="str">
        <f>IF(G108="","",IF(G108&lt;30,"Low",IF(G108&lt;70,"Medium","High")))</f>
        <v/>
      </c>
      <c r="J108" s="3" t="str">
        <f>IF(D108="","",IF(VALUE(LEFT(D108,2))&lt;6,"Night",IF(VALUE(LEFT(D108,2))&lt;12,"Morning",IF(VALUE(LEFT(D108,2))&lt;17,"Afternoon",IF(VALUE(LEFT(D108,2))&lt;21,"Evening","Night")))))</f>
        <v/>
      </c>
      <c r="K108" s="3" t="str">
        <f>IF(F108="","",IF(F108&lt;=5,"0-5 min",IF(F108&lt;=15,"6-15 min",IF(F108&lt;=25,"16-25 min","26+ min"))))</f>
        <v/>
      </c>
    </row>
    <row r="109" spans="8:11" x14ac:dyDescent="0.2">
      <c r="H109" s="3" t="str">
        <f>IF(F109="","",IF(F109&lt;=5,"On Time","Delayed"))</f>
        <v/>
      </c>
      <c r="I109" s="3" t="str">
        <f>IF(G109="","",IF(G109&lt;30,"Low",IF(G109&lt;70,"Medium","High")))</f>
        <v/>
      </c>
      <c r="J109" s="3" t="str">
        <f>IF(D109="","",IF(VALUE(LEFT(D109,2))&lt;6,"Night",IF(VALUE(LEFT(D109,2))&lt;12,"Morning",IF(VALUE(LEFT(D109,2))&lt;17,"Afternoon",IF(VALUE(LEFT(D109,2))&lt;21,"Evening","Night")))))</f>
        <v/>
      </c>
      <c r="K109" s="3" t="str">
        <f>IF(F109="","",IF(F109&lt;=5,"0-5 min",IF(F109&lt;=15,"6-15 min",IF(F109&lt;=25,"16-25 min","26+ min"))))</f>
        <v/>
      </c>
    </row>
    <row r="110" spans="8:11" x14ac:dyDescent="0.2">
      <c r="H110" s="3" t="str">
        <f>IF(F110="","",IF(F110&lt;=5,"On Time","Delayed"))</f>
        <v/>
      </c>
      <c r="I110" s="3" t="str">
        <f>IF(G110="","",IF(G110&lt;30,"Low",IF(G110&lt;70,"Medium","High")))</f>
        <v/>
      </c>
      <c r="J110" s="3" t="str">
        <f>IF(D110="","",IF(VALUE(LEFT(D110,2))&lt;6,"Night",IF(VALUE(LEFT(D110,2))&lt;12,"Morning",IF(VALUE(LEFT(D110,2))&lt;17,"Afternoon",IF(VALUE(LEFT(D110,2))&lt;21,"Evening","Night")))))</f>
        <v/>
      </c>
      <c r="K110" s="3" t="str">
        <f>IF(F110="","",IF(F110&lt;=5,"0-5 min",IF(F110&lt;=15,"6-15 min",IF(F110&lt;=25,"16-25 min","26+ min"))))</f>
        <v/>
      </c>
    </row>
    <row r="111" spans="8:11" x14ac:dyDescent="0.2">
      <c r="H111" s="3" t="str">
        <f>IF(F111="","",IF(F111&lt;=5,"On Time","Delayed"))</f>
        <v/>
      </c>
      <c r="I111" s="3" t="str">
        <f>IF(G111="","",IF(G111&lt;30,"Low",IF(G111&lt;70,"Medium","High")))</f>
        <v/>
      </c>
      <c r="J111" s="3" t="str">
        <f>IF(D111="","",IF(VALUE(LEFT(D111,2))&lt;6,"Night",IF(VALUE(LEFT(D111,2))&lt;12,"Morning",IF(VALUE(LEFT(D111,2))&lt;17,"Afternoon",IF(VALUE(LEFT(D111,2))&lt;21,"Evening","Night")))))</f>
        <v/>
      </c>
      <c r="K111" s="3" t="str">
        <f>IF(F111="","",IF(F111&lt;=5,"0-5 min",IF(F111&lt;=15,"6-15 min",IF(F111&lt;=25,"16-25 min","26+ min"))))</f>
        <v/>
      </c>
    </row>
    <row r="112" spans="8:11" x14ac:dyDescent="0.2">
      <c r="H112" s="3" t="str">
        <f>IF(F112="","",IF(F112&lt;=5,"On Time","Delayed"))</f>
        <v/>
      </c>
      <c r="I112" s="3" t="str">
        <f>IF(G112="","",IF(G112&lt;30,"Low",IF(G112&lt;70,"Medium","High")))</f>
        <v/>
      </c>
      <c r="J112" s="3" t="str">
        <f>IF(D112="","",IF(VALUE(LEFT(D112,2))&lt;6,"Night",IF(VALUE(LEFT(D112,2))&lt;12,"Morning",IF(VALUE(LEFT(D112,2))&lt;17,"Afternoon",IF(VALUE(LEFT(D112,2))&lt;21,"Evening","Night")))))</f>
        <v/>
      </c>
      <c r="K112" s="3" t="str">
        <f>IF(F112="","",IF(F112&lt;=5,"0-5 min",IF(F112&lt;=15,"6-15 min",IF(F112&lt;=25,"16-25 min","26+ min"))))</f>
        <v/>
      </c>
    </row>
    <row r="113" spans="8:11" x14ac:dyDescent="0.2">
      <c r="H113" s="3" t="str">
        <f>IF(F113="","",IF(F113&lt;=5,"On Time","Delayed"))</f>
        <v/>
      </c>
      <c r="I113" s="3" t="str">
        <f>IF(G113="","",IF(G113&lt;30,"Low",IF(G113&lt;70,"Medium","High")))</f>
        <v/>
      </c>
      <c r="J113" s="3" t="str">
        <f>IF(D113="","",IF(VALUE(LEFT(D113,2))&lt;6,"Night",IF(VALUE(LEFT(D113,2))&lt;12,"Morning",IF(VALUE(LEFT(D113,2))&lt;17,"Afternoon",IF(VALUE(LEFT(D113,2))&lt;21,"Evening","Night")))))</f>
        <v/>
      </c>
      <c r="K113" s="3" t="str">
        <f>IF(F113="","",IF(F113&lt;=5,"0-5 min",IF(F113&lt;=15,"6-15 min",IF(F113&lt;=25,"16-25 min","26+ min"))))</f>
        <v/>
      </c>
    </row>
    <row r="114" spans="8:11" x14ac:dyDescent="0.2">
      <c r="H114" s="3" t="str">
        <f>IF(F114="","",IF(F114&lt;=5,"On Time","Delayed"))</f>
        <v/>
      </c>
      <c r="I114" s="3" t="str">
        <f>IF(G114="","",IF(G114&lt;30,"Low",IF(G114&lt;70,"Medium","High")))</f>
        <v/>
      </c>
      <c r="J114" s="3" t="str">
        <f>IF(D114="","",IF(VALUE(LEFT(D114,2))&lt;6,"Night",IF(VALUE(LEFT(D114,2))&lt;12,"Morning",IF(VALUE(LEFT(D114,2))&lt;17,"Afternoon",IF(VALUE(LEFT(D114,2))&lt;21,"Evening","Night")))))</f>
        <v/>
      </c>
      <c r="K114" s="3" t="str">
        <f>IF(F114="","",IF(F114&lt;=5,"0-5 min",IF(F114&lt;=15,"6-15 min",IF(F114&lt;=25,"16-25 min","26+ min"))))</f>
        <v/>
      </c>
    </row>
    <row r="115" spans="8:11" x14ac:dyDescent="0.2">
      <c r="H115" s="3" t="str">
        <f>IF(F115="","",IF(F115&lt;=5,"On Time","Delayed"))</f>
        <v/>
      </c>
      <c r="I115" s="3" t="str">
        <f>IF(G115="","",IF(G115&lt;30,"Low",IF(G115&lt;70,"Medium","High")))</f>
        <v/>
      </c>
      <c r="J115" s="3" t="str">
        <f>IF(D115="","",IF(VALUE(LEFT(D115,2))&lt;6,"Night",IF(VALUE(LEFT(D115,2))&lt;12,"Morning",IF(VALUE(LEFT(D115,2))&lt;17,"Afternoon",IF(VALUE(LEFT(D115,2))&lt;21,"Evening","Night")))))</f>
        <v/>
      </c>
      <c r="K115" s="3" t="str">
        <f>IF(F115="","",IF(F115&lt;=5,"0-5 min",IF(F115&lt;=15,"6-15 min",IF(F115&lt;=25,"16-25 min","26+ min"))))</f>
        <v/>
      </c>
    </row>
    <row r="116" spans="8:11" x14ac:dyDescent="0.2">
      <c r="H116" s="3" t="str">
        <f>IF(F116="","",IF(F116&lt;=5,"On Time","Delayed"))</f>
        <v/>
      </c>
      <c r="I116" s="3" t="str">
        <f>IF(G116="","",IF(G116&lt;30,"Low",IF(G116&lt;70,"Medium","High")))</f>
        <v/>
      </c>
      <c r="J116" s="3" t="str">
        <f>IF(D116="","",IF(VALUE(LEFT(D116,2))&lt;6,"Night",IF(VALUE(LEFT(D116,2))&lt;12,"Morning",IF(VALUE(LEFT(D116,2))&lt;17,"Afternoon",IF(VALUE(LEFT(D116,2))&lt;21,"Evening","Night")))))</f>
        <v/>
      </c>
      <c r="K116" s="3" t="str">
        <f>IF(F116="","",IF(F116&lt;=5,"0-5 min",IF(F116&lt;=15,"6-15 min",IF(F116&lt;=25,"16-25 min","26+ min"))))</f>
        <v/>
      </c>
    </row>
    <row r="117" spans="8:11" x14ac:dyDescent="0.2">
      <c r="H117" s="3" t="str">
        <f>IF(F117="","",IF(F117&lt;=5,"On Time","Delayed"))</f>
        <v/>
      </c>
      <c r="I117" s="3" t="str">
        <f>IF(G117="","",IF(G117&lt;30,"Low",IF(G117&lt;70,"Medium","High")))</f>
        <v/>
      </c>
      <c r="J117" s="3" t="str">
        <f>IF(D117="","",IF(VALUE(LEFT(D117,2))&lt;6,"Night",IF(VALUE(LEFT(D117,2))&lt;12,"Morning",IF(VALUE(LEFT(D117,2))&lt;17,"Afternoon",IF(VALUE(LEFT(D117,2))&lt;21,"Evening","Night")))))</f>
        <v/>
      </c>
      <c r="K117" s="3" t="str">
        <f>IF(F117="","",IF(F117&lt;=5,"0-5 min",IF(F117&lt;=15,"6-15 min",IF(F117&lt;=25,"16-25 min","26+ min"))))</f>
        <v/>
      </c>
    </row>
    <row r="118" spans="8:11" x14ac:dyDescent="0.2">
      <c r="H118" s="3" t="str">
        <f>IF(F118="","",IF(F118&lt;=5,"On Time","Delayed"))</f>
        <v/>
      </c>
      <c r="I118" s="3" t="str">
        <f>IF(G118="","",IF(G118&lt;30,"Low",IF(G118&lt;70,"Medium","High")))</f>
        <v/>
      </c>
      <c r="J118" s="3" t="str">
        <f>IF(D118="","",IF(VALUE(LEFT(D118,2))&lt;6,"Night",IF(VALUE(LEFT(D118,2))&lt;12,"Morning",IF(VALUE(LEFT(D118,2))&lt;17,"Afternoon",IF(VALUE(LEFT(D118,2))&lt;21,"Evening","Night")))))</f>
        <v/>
      </c>
      <c r="K118" s="3" t="str">
        <f>IF(F118="","",IF(F118&lt;=5,"0-5 min",IF(F118&lt;=15,"6-15 min",IF(F118&lt;=25,"16-25 min","26+ min"))))</f>
        <v/>
      </c>
    </row>
    <row r="119" spans="8:11" x14ac:dyDescent="0.2">
      <c r="H119" s="3" t="str">
        <f>IF(F119="","",IF(F119&lt;=5,"On Time","Delayed"))</f>
        <v/>
      </c>
      <c r="I119" s="3" t="str">
        <f>IF(G119="","",IF(G119&lt;30,"Low",IF(G119&lt;70,"Medium","High")))</f>
        <v/>
      </c>
      <c r="J119" s="3" t="str">
        <f>IF(D119="","",IF(VALUE(LEFT(D119,2))&lt;6,"Night",IF(VALUE(LEFT(D119,2))&lt;12,"Morning",IF(VALUE(LEFT(D119,2))&lt;17,"Afternoon",IF(VALUE(LEFT(D119,2))&lt;21,"Evening","Night")))))</f>
        <v/>
      </c>
      <c r="K119" s="3" t="str">
        <f>IF(F119="","",IF(F119&lt;=5,"0-5 min",IF(F119&lt;=15,"6-15 min",IF(F119&lt;=25,"16-25 min","26+ min"))))</f>
        <v/>
      </c>
    </row>
    <row r="120" spans="8:11" x14ac:dyDescent="0.2">
      <c r="H120" s="3" t="str">
        <f>IF(F120="","",IF(F120&lt;=5,"On Time","Delayed"))</f>
        <v/>
      </c>
      <c r="I120" s="3" t="str">
        <f>IF(G120="","",IF(G120&lt;30,"Low",IF(G120&lt;70,"Medium","High")))</f>
        <v/>
      </c>
      <c r="J120" s="3" t="str">
        <f>IF(D120="","",IF(VALUE(LEFT(D120,2))&lt;6,"Night",IF(VALUE(LEFT(D120,2))&lt;12,"Morning",IF(VALUE(LEFT(D120,2))&lt;17,"Afternoon",IF(VALUE(LEFT(D120,2))&lt;21,"Evening","Night")))))</f>
        <v/>
      </c>
      <c r="K120" s="3" t="str">
        <f>IF(F120="","",IF(F120&lt;=5,"0-5 min",IF(F120&lt;=15,"6-15 min",IF(F120&lt;=25,"16-25 min","26+ min"))))</f>
        <v/>
      </c>
    </row>
    <row r="121" spans="8:11" x14ac:dyDescent="0.2">
      <c r="H121" s="3" t="str">
        <f>IF(F121="","",IF(F121&lt;=5,"On Time","Delayed"))</f>
        <v/>
      </c>
      <c r="I121" s="3" t="str">
        <f>IF(G121="","",IF(G121&lt;30,"Low",IF(G121&lt;70,"Medium","High")))</f>
        <v/>
      </c>
      <c r="J121" s="3" t="str">
        <f>IF(D121="","",IF(VALUE(LEFT(D121,2))&lt;6,"Night",IF(VALUE(LEFT(D121,2))&lt;12,"Morning",IF(VALUE(LEFT(D121,2))&lt;17,"Afternoon",IF(VALUE(LEFT(D121,2))&lt;21,"Evening","Night")))))</f>
        <v/>
      </c>
      <c r="K121" s="3" t="str">
        <f>IF(F121="","",IF(F121&lt;=5,"0-5 min",IF(F121&lt;=15,"6-15 min",IF(F121&lt;=25,"16-25 min","26+ min"))))</f>
        <v/>
      </c>
    </row>
    <row r="122" spans="8:11" x14ac:dyDescent="0.2">
      <c r="H122" s="3" t="str">
        <f>IF(F122="","",IF(F122&lt;=5,"On Time","Delayed"))</f>
        <v/>
      </c>
      <c r="I122" s="3" t="str">
        <f>IF(G122="","",IF(G122&lt;30,"Low",IF(G122&lt;70,"Medium","High")))</f>
        <v/>
      </c>
      <c r="J122" s="3" t="str">
        <f>IF(D122="","",IF(VALUE(LEFT(D122,2))&lt;6,"Night",IF(VALUE(LEFT(D122,2))&lt;12,"Morning",IF(VALUE(LEFT(D122,2))&lt;17,"Afternoon",IF(VALUE(LEFT(D122,2))&lt;21,"Evening","Night")))))</f>
        <v/>
      </c>
      <c r="K122" s="3" t="str">
        <f>IF(F122="","",IF(F122&lt;=5,"0-5 min",IF(F122&lt;=15,"6-15 min",IF(F122&lt;=25,"16-25 min","26+ min"))))</f>
        <v/>
      </c>
    </row>
    <row r="123" spans="8:11" x14ac:dyDescent="0.2">
      <c r="H123" s="3" t="str">
        <f>IF(F123="","",IF(F123&lt;=5,"On Time","Delayed"))</f>
        <v/>
      </c>
      <c r="I123" s="3" t="str">
        <f>IF(G123="","",IF(G123&lt;30,"Low",IF(G123&lt;70,"Medium","High")))</f>
        <v/>
      </c>
      <c r="J123" s="3" t="str">
        <f>IF(D123="","",IF(VALUE(LEFT(D123,2))&lt;6,"Night",IF(VALUE(LEFT(D123,2))&lt;12,"Morning",IF(VALUE(LEFT(D123,2))&lt;17,"Afternoon",IF(VALUE(LEFT(D123,2))&lt;21,"Evening","Night")))))</f>
        <v/>
      </c>
      <c r="K123" s="3" t="str">
        <f>IF(F123="","",IF(F123&lt;=5,"0-5 min",IF(F123&lt;=15,"6-15 min",IF(F123&lt;=25,"16-25 min","26+ min"))))</f>
        <v/>
      </c>
    </row>
    <row r="124" spans="8:11" x14ac:dyDescent="0.2">
      <c r="H124" s="3" t="str">
        <f>IF(F124="","",IF(F124&lt;=5,"On Time","Delayed"))</f>
        <v/>
      </c>
      <c r="I124" s="3" t="str">
        <f>IF(G124="","",IF(G124&lt;30,"Low",IF(G124&lt;70,"Medium","High")))</f>
        <v/>
      </c>
      <c r="J124" s="3" t="str">
        <f>IF(D124="","",IF(VALUE(LEFT(D124,2))&lt;6,"Night",IF(VALUE(LEFT(D124,2))&lt;12,"Morning",IF(VALUE(LEFT(D124,2))&lt;17,"Afternoon",IF(VALUE(LEFT(D124,2))&lt;21,"Evening","Night")))))</f>
        <v/>
      </c>
      <c r="K124" s="3" t="str">
        <f>IF(F124="","",IF(F124&lt;=5,"0-5 min",IF(F124&lt;=15,"6-15 min",IF(F124&lt;=25,"16-25 min","26+ min"))))</f>
        <v/>
      </c>
    </row>
    <row r="125" spans="8:11" x14ac:dyDescent="0.2">
      <c r="H125" s="3" t="str">
        <f>IF(F125="","",IF(F125&lt;=5,"On Time","Delayed"))</f>
        <v/>
      </c>
      <c r="I125" s="3" t="str">
        <f>IF(G125="","",IF(G125&lt;30,"Low",IF(G125&lt;70,"Medium","High")))</f>
        <v/>
      </c>
      <c r="J125" s="3" t="str">
        <f>IF(D125="","",IF(VALUE(LEFT(D125,2))&lt;6,"Night",IF(VALUE(LEFT(D125,2))&lt;12,"Morning",IF(VALUE(LEFT(D125,2))&lt;17,"Afternoon",IF(VALUE(LEFT(D125,2))&lt;21,"Evening","Night")))))</f>
        <v/>
      </c>
      <c r="K125" s="3" t="str">
        <f>IF(F125="","",IF(F125&lt;=5,"0-5 min",IF(F125&lt;=15,"6-15 min",IF(F125&lt;=25,"16-25 min","26+ min"))))</f>
        <v/>
      </c>
    </row>
    <row r="126" spans="8:11" x14ac:dyDescent="0.2">
      <c r="H126" s="3" t="str">
        <f>IF(F126="","",IF(F126&lt;=5,"On Time","Delayed"))</f>
        <v/>
      </c>
      <c r="I126" s="3" t="str">
        <f>IF(G126="","",IF(G126&lt;30,"Low",IF(G126&lt;70,"Medium","High")))</f>
        <v/>
      </c>
      <c r="J126" s="3" t="str">
        <f>IF(D126="","",IF(VALUE(LEFT(D126,2))&lt;6,"Night",IF(VALUE(LEFT(D126,2))&lt;12,"Morning",IF(VALUE(LEFT(D126,2))&lt;17,"Afternoon",IF(VALUE(LEFT(D126,2))&lt;21,"Evening","Night")))))</f>
        <v/>
      </c>
      <c r="K126" s="3" t="str">
        <f>IF(F126="","",IF(F126&lt;=5,"0-5 min",IF(F126&lt;=15,"6-15 min",IF(F126&lt;=25,"16-25 min","26+ min"))))</f>
        <v/>
      </c>
    </row>
    <row r="127" spans="8:11" x14ac:dyDescent="0.2">
      <c r="H127" s="3" t="str">
        <f>IF(F127="","",IF(F127&lt;=5,"On Time","Delayed"))</f>
        <v/>
      </c>
      <c r="I127" s="3" t="str">
        <f>IF(G127="","",IF(G127&lt;30,"Low",IF(G127&lt;70,"Medium","High")))</f>
        <v/>
      </c>
      <c r="J127" s="3" t="str">
        <f>IF(D127="","",IF(VALUE(LEFT(D127,2))&lt;6,"Night",IF(VALUE(LEFT(D127,2))&lt;12,"Morning",IF(VALUE(LEFT(D127,2))&lt;17,"Afternoon",IF(VALUE(LEFT(D127,2))&lt;21,"Evening","Night")))))</f>
        <v/>
      </c>
      <c r="K127" s="3" t="str">
        <f>IF(F127="","",IF(F127&lt;=5,"0-5 min",IF(F127&lt;=15,"6-15 min",IF(F127&lt;=25,"16-25 min","26+ min"))))</f>
        <v/>
      </c>
    </row>
    <row r="128" spans="8:11" x14ac:dyDescent="0.2">
      <c r="H128" s="3" t="str">
        <f>IF(F128="","",IF(F128&lt;=5,"On Time","Delayed"))</f>
        <v/>
      </c>
      <c r="I128" s="3" t="str">
        <f>IF(G128="","",IF(G128&lt;30,"Low",IF(G128&lt;70,"Medium","High")))</f>
        <v/>
      </c>
      <c r="J128" s="3" t="str">
        <f>IF(D128="","",IF(VALUE(LEFT(D128,2))&lt;6,"Night",IF(VALUE(LEFT(D128,2))&lt;12,"Morning",IF(VALUE(LEFT(D128,2))&lt;17,"Afternoon",IF(VALUE(LEFT(D128,2))&lt;21,"Evening","Night")))))</f>
        <v/>
      </c>
      <c r="K128" s="3" t="str">
        <f>IF(F128="","",IF(F128&lt;=5,"0-5 min",IF(F128&lt;=15,"6-15 min",IF(F128&lt;=25,"16-25 min","26+ min"))))</f>
        <v/>
      </c>
    </row>
    <row r="129" spans="8:11" x14ac:dyDescent="0.2">
      <c r="H129" s="3" t="str">
        <f>IF(F129="","",IF(F129&lt;=5,"On Time","Delayed"))</f>
        <v/>
      </c>
      <c r="I129" s="3" t="str">
        <f>IF(G129="","",IF(G129&lt;30,"Low",IF(G129&lt;70,"Medium","High")))</f>
        <v/>
      </c>
      <c r="J129" s="3" t="str">
        <f>IF(D129="","",IF(VALUE(LEFT(D129,2))&lt;6,"Night",IF(VALUE(LEFT(D129,2))&lt;12,"Morning",IF(VALUE(LEFT(D129,2))&lt;17,"Afternoon",IF(VALUE(LEFT(D129,2))&lt;21,"Evening","Night")))))</f>
        <v/>
      </c>
      <c r="K129" s="3" t="str">
        <f>IF(F129="","",IF(F129&lt;=5,"0-5 min",IF(F129&lt;=15,"6-15 min",IF(F129&lt;=25,"16-25 min","26+ min"))))</f>
        <v/>
      </c>
    </row>
    <row r="130" spans="8:11" x14ac:dyDescent="0.2">
      <c r="H130" s="3" t="str">
        <f>IF(F130="","",IF(F130&lt;=5,"On Time","Delayed"))</f>
        <v/>
      </c>
      <c r="I130" s="3" t="str">
        <f>IF(G130="","",IF(G130&lt;30,"Low",IF(G130&lt;70,"Medium","High")))</f>
        <v/>
      </c>
      <c r="J130" s="3" t="str">
        <f>IF(D130="","",IF(VALUE(LEFT(D130,2))&lt;6,"Night",IF(VALUE(LEFT(D130,2))&lt;12,"Morning",IF(VALUE(LEFT(D130,2))&lt;17,"Afternoon",IF(VALUE(LEFT(D130,2))&lt;21,"Evening","Night")))))</f>
        <v/>
      </c>
      <c r="K130" s="3" t="str">
        <f>IF(F130="","",IF(F130&lt;=5,"0-5 min",IF(F130&lt;=15,"6-15 min",IF(F130&lt;=25,"16-25 min","26+ min"))))</f>
        <v/>
      </c>
    </row>
    <row r="131" spans="8:11" x14ac:dyDescent="0.2">
      <c r="H131" s="3" t="str">
        <f>IF(F131="","",IF(F131&lt;=5,"On Time","Delayed"))</f>
        <v/>
      </c>
      <c r="I131" s="3" t="str">
        <f>IF(G131="","",IF(G131&lt;30,"Low",IF(G131&lt;70,"Medium","High")))</f>
        <v/>
      </c>
      <c r="J131" s="3" t="str">
        <f>IF(D131="","",IF(VALUE(LEFT(D131,2))&lt;6,"Night",IF(VALUE(LEFT(D131,2))&lt;12,"Morning",IF(VALUE(LEFT(D131,2))&lt;17,"Afternoon",IF(VALUE(LEFT(D131,2))&lt;21,"Evening","Night")))))</f>
        <v/>
      </c>
      <c r="K131" s="3" t="str">
        <f>IF(F131="","",IF(F131&lt;=5,"0-5 min",IF(F131&lt;=15,"6-15 min",IF(F131&lt;=25,"16-25 min","26+ min"))))</f>
        <v/>
      </c>
    </row>
    <row r="132" spans="8:11" x14ac:dyDescent="0.2">
      <c r="H132" s="3" t="str">
        <f>IF(F132="","",IF(F132&lt;=5,"On Time","Delayed"))</f>
        <v/>
      </c>
      <c r="I132" s="3" t="str">
        <f>IF(G132="","",IF(G132&lt;30,"Low",IF(G132&lt;70,"Medium","High")))</f>
        <v/>
      </c>
      <c r="J132" s="3" t="str">
        <f>IF(D132="","",IF(VALUE(LEFT(D132,2))&lt;6,"Night",IF(VALUE(LEFT(D132,2))&lt;12,"Morning",IF(VALUE(LEFT(D132,2))&lt;17,"Afternoon",IF(VALUE(LEFT(D132,2))&lt;21,"Evening","Night")))))</f>
        <v/>
      </c>
      <c r="K132" s="3" t="str">
        <f>IF(F132="","",IF(F132&lt;=5,"0-5 min",IF(F132&lt;=15,"6-15 min",IF(F132&lt;=25,"16-25 min","26+ min"))))</f>
        <v/>
      </c>
    </row>
    <row r="133" spans="8:11" x14ac:dyDescent="0.2">
      <c r="H133" s="3" t="str">
        <f>IF(F133="","",IF(F133&lt;=5,"On Time","Delayed"))</f>
        <v/>
      </c>
      <c r="I133" s="3" t="str">
        <f>IF(G133="","",IF(G133&lt;30,"Low",IF(G133&lt;70,"Medium","High")))</f>
        <v/>
      </c>
      <c r="J133" s="3" t="str">
        <f>IF(D133="","",IF(VALUE(LEFT(D133,2))&lt;6,"Night",IF(VALUE(LEFT(D133,2))&lt;12,"Morning",IF(VALUE(LEFT(D133,2))&lt;17,"Afternoon",IF(VALUE(LEFT(D133,2))&lt;21,"Evening","Night")))))</f>
        <v/>
      </c>
      <c r="K133" s="3" t="str">
        <f>IF(F133="","",IF(F133&lt;=5,"0-5 min",IF(F133&lt;=15,"6-15 min",IF(F133&lt;=25,"16-25 min","26+ min"))))</f>
        <v/>
      </c>
    </row>
    <row r="134" spans="8:11" x14ac:dyDescent="0.2">
      <c r="H134" s="3" t="str">
        <f>IF(F134="","",IF(F134&lt;=5,"On Time","Delayed"))</f>
        <v/>
      </c>
      <c r="I134" s="3" t="str">
        <f>IF(G134="","",IF(G134&lt;30,"Low",IF(G134&lt;70,"Medium","High")))</f>
        <v/>
      </c>
      <c r="J134" s="3" t="str">
        <f>IF(D134="","",IF(VALUE(LEFT(D134,2))&lt;6,"Night",IF(VALUE(LEFT(D134,2))&lt;12,"Morning",IF(VALUE(LEFT(D134,2))&lt;17,"Afternoon",IF(VALUE(LEFT(D134,2))&lt;21,"Evening","Night")))))</f>
        <v/>
      </c>
      <c r="K134" s="3" t="str">
        <f>IF(F134="","",IF(F134&lt;=5,"0-5 min",IF(F134&lt;=15,"6-15 min",IF(F134&lt;=25,"16-25 min","26+ min"))))</f>
        <v/>
      </c>
    </row>
    <row r="135" spans="8:11" x14ac:dyDescent="0.2">
      <c r="H135" s="3" t="str">
        <f>IF(F135="","",IF(F135&lt;=5,"On Time","Delayed"))</f>
        <v/>
      </c>
      <c r="I135" s="3" t="str">
        <f>IF(G135="","",IF(G135&lt;30,"Low",IF(G135&lt;70,"Medium","High")))</f>
        <v/>
      </c>
      <c r="J135" s="3" t="str">
        <f>IF(D135="","",IF(VALUE(LEFT(D135,2))&lt;6,"Night",IF(VALUE(LEFT(D135,2))&lt;12,"Morning",IF(VALUE(LEFT(D135,2))&lt;17,"Afternoon",IF(VALUE(LEFT(D135,2))&lt;21,"Evening","Night")))))</f>
        <v/>
      </c>
      <c r="K135" s="3" t="str">
        <f>IF(F135="","",IF(F135&lt;=5,"0-5 min",IF(F135&lt;=15,"6-15 min",IF(F135&lt;=25,"16-25 min","26+ min"))))</f>
        <v/>
      </c>
    </row>
    <row r="136" spans="8:11" x14ac:dyDescent="0.2">
      <c r="H136" s="3" t="str">
        <f>IF(F136="","",IF(F136&lt;=5,"On Time","Delayed"))</f>
        <v/>
      </c>
      <c r="I136" s="3" t="str">
        <f>IF(G136="","",IF(G136&lt;30,"Low",IF(G136&lt;70,"Medium","High")))</f>
        <v/>
      </c>
      <c r="J136" s="3" t="str">
        <f>IF(D136="","",IF(VALUE(LEFT(D136,2))&lt;6,"Night",IF(VALUE(LEFT(D136,2))&lt;12,"Morning",IF(VALUE(LEFT(D136,2))&lt;17,"Afternoon",IF(VALUE(LEFT(D136,2))&lt;21,"Evening","Night")))))</f>
        <v/>
      </c>
      <c r="K136" s="3" t="str">
        <f>IF(F136="","",IF(F136&lt;=5,"0-5 min",IF(F136&lt;=15,"6-15 min",IF(F136&lt;=25,"16-25 min","26+ min"))))</f>
        <v/>
      </c>
    </row>
    <row r="137" spans="8:11" x14ac:dyDescent="0.2">
      <c r="H137" s="3" t="str">
        <f>IF(F137="","",IF(F137&lt;=5,"On Time","Delayed"))</f>
        <v/>
      </c>
      <c r="I137" s="3" t="str">
        <f>IF(G137="","",IF(G137&lt;30,"Low",IF(G137&lt;70,"Medium","High")))</f>
        <v/>
      </c>
      <c r="J137" s="3" t="str">
        <f>IF(D137="","",IF(VALUE(LEFT(D137,2))&lt;6,"Night",IF(VALUE(LEFT(D137,2))&lt;12,"Morning",IF(VALUE(LEFT(D137,2))&lt;17,"Afternoon",IF(VALUE(LEFT(D137,2))&lt;21,"Evening","Night")))))</f>
        <v/>
      </c>
      <c r="K137" s="3" t="str">
        <f>IF(F137="","",IF(F137&lt;=5,"0-5 min",IF(F137&lt;=15,"6-15 min",IF(F137&lt;=25,"16-25 min","26+ min"))))</f>
        <v/>
      </c>
    </row>
    <row r="138" spans="8:11" x14ac:dyDescent="0.2">
      <c r="H138" s="3" t="str">
        <f>IF(F138="","",IF(F138&lt;=5,"On Time","Delayed"))</f>
        <v/>
      </c>
      <c r="I138" s="3" t="str">
        <f>IF(G138="","",IF(G138&lt;30,"Low",IF(G138&lt;70,"Medium","High")))</f>
        <v/>
      </c>
      <c r="J138" s="3" t="str">
        <f>IF(D138="","",IF(VALUE(LEFT(D138,2))&lt;6,"Night",IF(VALUE(LEFT(D138,2))&lt;12,"Morning",IF(VALUE(LEFT(D138,2))&lt;17,"Afternoon",IF(VALUE(LEFT(D138,2))&lt;21,"Evening","Night")))))</f>
        <v/>
      </c>
      <c r="K138" s="3" t="str">
        <f>IF(F138="","",IF(F138&lt;=5,"0-5 min",IF(F138&lt;=15,"6-15 min",IF(F138&lt;=25,"16-25 min","26+ min"))))</f>
        <v/>
      </c>
    </row>
    <row r="139" spans="8:11" x14ac:dyDescent="0.2">
      <c r="H139" s="3" t="str">
        <f>IF(F139="","",IF(F139&lt;=5,"On Time","Delayed"))</f>
        <v/>
      </c>
      <c r="I139" s="3" t="str">
        <f>IF(G139="","",IF(G139&lt;30,"Low",IF(G139&lt;70,"Medium","High")))</f>
        <v/>
      </c>
      <c r="J139" s="3" t="str">
        <f>IF(D139="","",IF(VALUE(LEFT(D139,2))&lt;6,"Night",IF(VALUE(LEFT(D139,2))&lt;12,"Morning",IF(VALUE(LEFT(D139,2))&lt;17,"Afternoon",IF(VALUE(LEFT(D139,2))&lt;21,"Evening","Night")))))</f>
        <v/>
      </c>
      <c r="K139" s="3" t="str">
        <f>IF(F139="","",IF(F139&lt;=5,"0-5 min",IF(F139&lt;=15,"6-15 min",IF(F139&lt;=25,"16-25 min","26+ min"))))</f>
        <v/>
      </c>
    </row>
    <row r="140" spans="8:11" x14ac:dyDescent="0.2">
      <c r="H140" s="3" t="str">
        <f>IF(F140="","",IF(F140&lt;=5,"On Time","Delayed"))</f>
        <v/>
      </c>
      <c r="I140" s="3" t="str">
        <f>IF(G140="","",IF(G140&lt;30,"Low",IF(G140&lt;70,"Medium","High")))</f>
        <v/>
      </c>
      <c r="J140" s="3" t="str">
        <f>IF(D140="","",IF(VALUE(LEFT(D140,2))&lt;6,"Night",IF(VALUE(LEFT(D140,2))&lt;12,"Morning",IF(VALUE(LEFT(D140,2))&lt;17,"Afternoon",IF(VALUE(LEFT(D140,2))&lt;21,"Evening","Night")))))</f>
        <v/>
      </c>
      <c r="K140" s="3" t="str">
        <f>IF(F140="","",IF(F140&lt;=5,"0-5 min",IF(F140&lt;=15,"6-15 min",IF(F140&lt;=25,"16-25 min","26+ min"))))</f>
        <v/>
      </c>
    </row>
    <row r="141" spans="8:11" x14ac:dyDescent="0.2">
      <c r="H141" s="3" t="str">
        <f>IF(F141="","",IF(F141&lt;=5,"On Time","Delayed"))</f>
        <v/>
      </c>
      <c r="I141" s="3" t="str">
        <f>IF(G141="","",IF(G141&lt;30,"Low",IF(G141&lt;70,"Medium","High")))</f>
        <v/>
      </c>
      <c r="J141" s="3" t="str">
        <f>IF(D141="","",IF(VALUE(LEFT(D141,2))&lt;6,"Night",IF(VALUE(LEFT(D141,2))&lt;12,"Morning",IF(VALUE(LEFT(D141,2))&lt;17,"Afternoon",IF(VALUE(LEFT(D141,2))&lt;21,"Evening","Night")))))</f>
        <v/>
      </c>
      <c r="K141" s="3" t="str">
        <f>IF(F141="","",IF(F141&lt;=5,"0-5 min",IF(F141&lt;=15,"6-15 min",IF(F141&lt;=25,"16-25 min","26+ min"))))</f>
        <v/>
      </c>
    </row>
    <row r="142" spans="8:11" x14ac:dyDescent="0.2">
      <c r="H142" s="3" t="str">
        <f>IF(F142="","",IF(F142&lt;=5,"On Time","Delayed"))</f>
        <v/>
      </c>
      <c r="I142" s="3" t="str">
        <f>IF(G142="","",IF(G142&lt;30,"Low",IF(G142&lt;70,"Medium","High")))</f>
        <v/>
      </c>
      <c r="J142" s="3" t="str">
        <f>IF(D142="","",IF(VALUE(LEFT(D142,2))&lt;6,"Night",IF(VALUE(LEFT(D142,2))&lt;12,"Morning",IF(VALUE(LEFT(D142,2))&lt;17,"Afternoon",IF(VALUE(LEFT(D142,2))&lt;21,"Evening","Night")))))</f>
        <v/>
      </c>
      <c r="K142" s="3" t="str">
        <f>IF(F142="","",IF(F142&lt;=5,"0-5 min",IF(F142&lt;=15,"6-15 min",IF(F142&lt;=25,"16-25 min","26+ min"))))</f>
        <v/>
      </c>
    </row>
    <row r="143" spans="8:11" x14ac:dyDescent="0.2">
      <c r="H143" s="3" t="str">
        <f>IF(F143="","",IF(F143&lt;=5,"On Time","Delayed"))</f>
        <v/>
      </c>
      <c r="I143" s="3" t="str">
        <f>IF(G143="","",IF(G143&lt;30,"Low",IF(G143&lt;70,"Medium","High")))</f>
        <v/>
      </c>
      <c r="J143" s="3" t="str">
        <f>IF(D143="","",IF(VALUE(LEFT(D143,2))&lt;6,"Night",IF(VALUE(LEFT(D143,2))&lt;12,"Morning",IF(VALUE(LEFT(D143,2))&lt;17,"Afternoon",IF(VALUE(LEFT(D143,2))&lt;21,"Evening","Night")))))</f>
        <v/>
      </c>
      <c r="K143" s="3" t="str">
        <f>IF(F143="","",IF(F143&lt;=5,"0-5 min",IF(F143&lt;=15,"6-15 min",IF(F143&lt;=25,"16-25 min","26+ min"))))</f>
        <v/>
      </c>
    </row>
    <row r="144" spans="8:11" x14ac:dyDescent="0.2">
      <c r="H144" s="3" t="str">
        <f>IF(F144="","",IF(F144&lt;=5,"On Time","Delayed"))</f>
        <v/>
      </c>
      <c r="I144" s="3" t="str">
        <f>IF(G144="","",IF(G144&lt;30,"Low",IF(G144&lt;70,"Medium","High")))</f>
        <v/>
      </c>
      <c r="J144" s="3" t="str">
        <f>IF(D144="","",IF(VALUE(LEFT(D144,2))&lt;6,"Night",IF(VALUE(LEFT(D144,2))&lt;12,"Morning",IF(VALUE(LEFT(D144,2))&lt;17,"Afternoon",IF(VALUE(LEFT(D144,2))&lt;21,"Evening","Night")))))</f>
        <v/>
      </c>
      <c r="K144" s="3" t="str">
        <f>IF(F144="","",IF(F144&lt;=5,"0-5 min",IF(F144&lt;=15,"6-15 min",IF(F144&lt;=25,"16-25 min","26+ min"))))</f>
        <v/>
      </c>
    </row>
    <row r="145" spans="8:11" x14ac:dyDescent="0.2">
      <c r="H145" s="3" t="str">
        <f>IF(F145="","",IF(F145&lt;=5,"On Time","Delayed"))</f>
        <v/>
      </c>
      <c r="I145" s="3" t="str">
        <f>IF(G145="","",IF(G145&lt;30,"Low",IF(G145&lt;70,"Medium","High")))</f>
        <v/>
      </c>
      <c r="J145" s="3" t="str">
        <f>IF(D145="","",IF(VALUE(LEFT(D145,2))&lt;6,"Night",IF(VALUE(LEFT(D145,2))&lt;12,"Morning",IF(VALUE(LEFT(D145,2))&lt;17,"Afternoon",IF(VALUE(LEFT(D145,2))&lt;21,"Evening","Night")))))</f>
        <v/>
      </c>
      <c r="K145" s="3" t="str">
        <f>IF(F145="","",IF(F145&lt;=5,"0-5 min",IF(F145&lt;=15,"6-15 min",IF(F145&lt;=25,"16-25 min","26+ min"))))</f>
        <v/>
      </c>
    </row>
    <row r="146" spans="8:11" x14ac:dyDescent="0.2">
      <c r="H146" s="3" t="str">
        <f>IF(F146="","",IF(F146&lt;=5,"On Time","Delayed"))</f>
        <v/>
      </c>
      <c r="I146" s="3" t="str">
        <f>IF(G146="","",IF(G146&lt;30,"Low",IF(G146&lt;70,"Medium","High")))</f>
        <v/>
      </c>
      <c r="J146" s="3" t="str">
        <f>IF(D146="","",IF(VALUE(LEFT(D146,2))&lt;6,"Night",IF(VALUE(LEFT(D146,2))&lt;12,"Morning",IF(VALUE(LEFT(D146,2))&lt;17,"Afternoon",IF(VALUE(LEFT(D146,2))&lt;21,"Evening","Night")))))</f>
        <v/>
      </c>
      <c r="K146" s="3" t="str">
        <f>IF(F146="","",IF(F146&lt;=5,"0-5 min",IF(F146&lt;=15,"6-15 min",IF(F146&lt;=25,"16-25 min","26+ min"))))</f>
        <v/>
      </c>
    </row>
    <row r="147" spans="8:11" x14ac:dyDescent="0.2">
      <c r="H147" s="3" t="str">
        <f>IF(F147="","",IF(F147&lt;=5,"On Time","Delayed"))</f>
        <v/>
      </c>
      <c r="I147" s="3" t="str">
        <f>IF(G147="","",IF(G147&lt;30,"Low",IF(G147&lt;70,"Medium","High")))</f>
        <v/>
      </c>
      <c r="J147" s="3" t="str">
        <f>IF(D147="","",IF(VALUE(LEFT(D147,2))&lt;6,"Night",IF(VALUE(LEFT(D147,2))&lt;12,"Morning",IF(VALUE(LEFT(D147,2))&lt;17,"Afternoon",IF(VALUE(LEFT(D147,2))&lt;21,"Evening","Night")))))</f>
        <v/>
      </c>
      <c r="K147" s="3" t="str">
        <f>IF(F147="","",IF(F147&lt;=5,"0-5 min",IF(F147&lt;=15,"6-15 min",IF(F147&lt;=25,"16-25 min","26+ min"))))</f>
        <v/>
      </c>
    </row>
    <row r="148" spans="8:11" x14ac:dyDescent="0.2">
      <c r="H148" s="3" t="str">
        <f>IF(F148="","",IF(F148&lt;=5,"On Time","Delayed"))</f>
        <v/>
      </c>
      <c r="I148" s="3" t="str">
        <f>IF(G148="","",IF(G148&lt;30,"Low",IF(G148&lt;70,"Medium","High")))</f>
        <v/>
      </c>
      <c r="J148" s="3" t="str">
        <f>IF(D148="","",IF(VALUE(LEFT(D148,2))&lt;6,"Night",IF(VALUE(LEFT(D148,2))&lt;12,"Morning",IF(VALUE(LEFT(D148,2))&lt;17,"Afternoon",IF(VALUE(LEFT(D148,2))&lt;21,"Evening","Night")))))</f>
        <v/>
      </c>
      <c r="K148" s="3" t="str">
        <f>IF(F148="","",IF(F148&lt;=5,"0-5 min",IF(F148&lt;=15,"6-15 min",IF(F148&lt;=25,"16-25 min","26+ min"))))</f>
        <v/>
      </c>
    </row>
    <row r="149" spans="8:11" x14ac:dyDescent="0.2">
      <c r="H149" s="3" t="str">
        <f>IF(F149="","",IF(F149&lt;=5,"On Time","Delayed"))</f>
        <v/>
      </c>
      <c r="I149" s="3" t="str">
        <f>IF(G149="","",IF(G149&lt;30,"Low",IF(G149&lt;70,"Medium","High")))</f>
        <v/>
      </c>
      <c r="J149" s="3" t="str">
        <f>IF(D149="","",IF(VALUE(LEFT(D149,2))&lt;6,"Night",IF(VALUE(LEFT(D149,2))&lt;12,"Morning",IF(VALUE(LEFT(D149,2))&lt;17,"Afternoon",IF(VALUE(LEFT(D149,2))&lt;21,"Evening","Night")))))</f>
        <v/>
      </c>
      <c r="K149" s="3" t="str">
        <f>IF(F149="","",IF(F149&lt;=5,"0-5 min",IF(F149&lt;=15,"6-15 min",IF(F149&lt;=25,"16-25 min","26+ min"))))</f>
        <v/>
      </c>
    </row>
    <row r="150" spans="8:11" x14ac:dyDescent="0.2">
      <c r="H150" s="3" t="str">
        <f>IF(F150="","",IF(F150&lt;=5,"On Time","Delayed"))</f>
        <v/>
      </c>
      <c r="I150" s="3" t="str">
        <f>IF(G150="","",IF(G150&lt;30,"Low",IF(G150&lt;70,"Medium","High")))</f>
        <v/>
      </c>
      <c r="J150" s="3" t="str">
        <f>IF(D150="","",IF(VALUE(LEFT(D150,2))&lt;6,"Night",IF(VALUE(LEFT(D150,2))&lt;12,"Morning",IF(VALUE(LEFT(D150,2))&lt;17,"Afternoon",IF(VALUE(LEFT(D150,2))&lt;21,"Evening","Night")))))</f>
        <v/>
      </c>
      <c r="K150" s="3" t="str">
        <f>IF(F150="","",IF(F150&lt;=5,"0-5 min",IF(F150&lt;=15,"6-15 min",IF(F150&lt;=25,"16-25 min","26+ min"))))</f>
        <v/>
      </c>
    </row>
    <row r="151" spans="8:11" x14ac:dyDescent="0.2">
      <c r="H151" s="3" t="str">
        <f>IF(F151="","",IF(F151&lt;=5,"On Time","Delayed"))</f>
        <v/>
      </c>
      <c r="I151" s="3" t="str">
        <f>IF(G151="","",IF(G151&lt;30,"Low",IF(G151&lt;70,"Medium","High")))</f>
        <v/>
      </c>
      <c r="J151" s="3" t="str">
        <f>IF(D151="","",IF(VALUE(LEFT(D151,2))&lt;6,"Night",IF(VALUE(LEFT(D151,2))&lt;12,"Morning",IF(VALUE(LEFT(D151,2))&lt;17,"Afternoon",IF(VALUE(LEFT(D151,2))&lt;21,"Evening","Night")))))</f>
        <v/>
      </c>
      <c r="K151" s="3" t="str">
        <f>IF(F151="","",IF(F151&lt;=5,"0-5 min",IF(F151&lt;=15,"6-15 min",IF(F151&lt;=25,"16-25 min","26+ min"))))</f>
        <v/>
      </c>
    </row>
    <row r="152" spans="8:11" x14ac:dyDescent="0.2">
      <c r="H152" s="3" t="str">
        <f>IF(F152="","",IF(F152&lt;=5,"On Time","Delayed"))</f>
        <v/>
      </c>
      <c r="I152" s="3" t="str">
        <f>IF(G152="","",IF(G152&lt;30,"Low",IF(G152&lt;70,"Medium","High")))</f>
        <v/>
      </c>
      <c r="J152" s="3" t="str">
        <f>IF(D152="","",IF(VALUE(LEFT(D152,2))&lt;6,"Night",IF(VALUE(LEFT(D152,2))&lt;12,"Morning",IF(VALUE(LEFT(D152,2))&lt;17,"Afternoon",IF(VALUE(LEFT(D152,2))&lt;21,"Evening","Night")))))</f>
        <v/>
      </c>
      <c r="K152" s="3" t="str">
        <f>IF(F152="","",IF(F152&lt;=5,"0-5 min",IF(F152&lt;=15,"6-15 min",IF(F152&lt;=25,"16-25 min","26+ min"))))</f>
        <v/>
      </c>
    </row>
    <row r="153" spans="8:11" x14ac:dyDescent="0.2">
      <c r="H153" s="3" t="str">
        <f>IF(F153="","",IF(F153&lt;=5,"On Time","Delayed"))</f>
        <v/>
      </c>
      <c r="I153" s="3" t="str">
        <f>IF(G153="","",IF(G153&lt;30,"Low",IF(G153&lt;70,"Medium","High")))</f>
        <v/>
      </c>
      <c r="J153" s="3" t="str">
        <f>IF(D153="","",IF(VALUE(LEFT(D153,2))&lt;6,"Night",IF(VALUE(LEFT(D153,2))&lt;12,"Morning",IF(VALUE(LEFT(D153,2))&lt;17,"Afternoon",IF(VALUE(LEFT(D153,2))&lt;21,"Evening","Night")))))</f>
        <v/>
      </c>
      <c r="K153" s="3" t="str">
        <f>IF(F153="","",IF(F153&lt;=5,"0-5 min",IF(F153&lt;=15,"6-15 min",IF(F153&lt;=25,"16-25 min","26+ min"))))</f>
        <v/>
      </c>
    </row>
    <row r="154" spans="8:11" x14ac:dyDescent="0.2">
      <c r="H154" s="3" t="str">
        <f>IF(F154="","",IF(F154&lt;=5,"On Time","Delayed"))</f>
        <v/>
      </c>
      <c r="I154" s="3" t="str">
        <f>IF(G154="","",IF(G154&lt;30,"Low",IF(G154&lt;70,"Medium","High")))</f>
        <v/>
      </c>
      <c r="J154" s="3" t="str">
        <f>IF(D154="","",IF(VALUE(LEFT(D154,2))&lt;6,"Night",IF(VALUE(LEFT(D154,2))&lt;12,"Morning",IF(VALUE(LEFT(D154,2))&lt;17,"Afternoon",IF(VALUE(LEFT(D154,2))&lt;21,"Evening","Night")))))</f>
        <v/>
      </c>
      <c r="K154" s="3" t="str">
        <f>IF(F154="","",IF(F154&lt;=5,"0-5 min",IF(F154&lt;=15,"6-15 min",IF(F154&lt;=25,"16-25 min","26+ min"))))</f>
        <v/>
      </c>
    </row>
    <row r="155" spans="8:11" x14ac:dyDescent="0.2">
      <c r="H155" s="3" t="str">
        <f>IF(F155="","",IF(F155&lt;=5,"On Time","Delayed"))</f>
        <v/>
      </c>
      <c r="I155" s="3" t="str">
        <f>IF(G155="","",IF(G155&lt;30,"Low",IF(G155&lt;70,"Medium","High")))</f>
        <v/>
      </c>
      <c r="J155" s="3" t="str">
        <f>IF(D155="","",IF(VALUE(LEFT(D155,2))&lt;6,"Night",IF(VALUE(LEFT(D155,2))&lt;12,"Morning",IF(VALUE(LEFT(D155,2))&lt;17,"Afternoon",IF(VALUE(LEFT(D155,2))&lt;21,"Evening","Night")))))</f>
        <v/>
      </c>
      <c r="K155" s="3" t="str">
        <f>IF(F155="","",IF(F155&lt;=5,"0-5 min",IF(F155&lt;=15,"6-15 min",IF(F155&lt;=25,"16-25 min","26+ min"))))</f>
        <v/>
      </c>
    </row>
    <row r="156" spans="8:11" x14ac:dyDescent="0.2">
      <c r="H156" s="3" t="str">
        <f>IF(F156="","",IF(F156&lt;=5,"On Time","Delayed"))</f>
        <v/>
      </c>
      <c r="I156" s="3" t="str">
        <f>IF(G156="","",IF(G156&lt;30,"Low",IF(G156&lt;70,"Medium","High")))</f>
        <v/>
      </c>
      <c r="J156" s="3" t="str">
        <f>IF(D156="","",IF(VALUE(LEFT(D156,2))&lt;6,"Night",IF(VALUE(LEFT(D156,2))&lt;12,"Morning",IF(VALUE(LEFT(D156,2))&lt;17,"Afternoon",IF(VALUE(LEFT(D156,2))&lt;21,"Evening","Night")))))</f>
        <v/>
      </c>
      <c r="K156" s="3" t="str">
        <f>IF(F156="","",IF(F156&lt;=5,"0-5 min",IF(F156&lt;=15,"6-15 min",IF(F156&lt;=25,"16-25 min","26+ min"))))</f>
        <v/>
      </c>
    </row>
    <row r="157" spans="8:11" x14ac:dyDescent="0.2">
      <c r="H157" s="3" t="str">
        <f>IF(F157="","",IF(F157&lt;=5,"On Time","Delayed"))</f>
        <v/>
      </c>
      <c r="I157" s="3" t="str">
        <f>IF(G157="","",IF(G157&lt;30,"Low",IF(G157&lt;70,"Medium","High")))</f>
        <v/>
      </c>
      <c r="J157" s="3" t="str">
        <f>IF(D157="","",IF(VALUE(LEFT(D157,2))&lt;6,"Night",IF(VALUE(LEFT(D157,2))&lt;12,"Morning",IF(VALUE(LEFT(D157,2))&lt;17,"Afternoon",IF(VALUE(LEFT(D157,2))&lt;21,"Evening","Night")))))</f>
        <v/>
      </c>
      <c r="K157" s="3" t="str">
        <f>IF(F157="","",IF(F157&lt;=5,"0-5 min",IF(F157&lt;=15,"6-15 min",IF(F157&lt;=25,"16-25 min","26+ min"))))</f>
        <v/>
      </c>
    </row>
    <row r="158" spans="8:11" x14ac:dyDescent="0.2">
      <c r="H158" s="3" t="str">
        <f>IF(F158="","",IF(F158&lt;=5,"On Time","Delayed"))</f>
        <v/>
      </c>
      <c r="I158" s="3" t="str">
        <f>IF(G158="","",IF(G158&lt;30,"Low",IF(G158&lt;70,"Medium","High")))</f>
        <v/>
      </c>
      <c r="J158" s="3" t="str">
        <f>IF(D158="","",IF(VALUE(LEFT(D158,2))&lt;6,"Night",IF(VALUE(LEFT(D158,2))&lt;12,"Morning",IF(VALUE(LEFT(D158,2))&lt;17,"Afternoon",IF(VALUE(LEFT(D158,2))&lt;21,"Evening","Night")))))</f>
        <v/>
      </c>
      <c r="K158" s="3" t="str">
        <f>IF(F158="","",IF(F158&lt;=5,"0-5 min",IF(F158&lt;=15,"6-15 min",IF(F158&lt;=25,"16-25 min","26+ min"))))</f>
        <v/>
      </c>
    </row>
    <row r="159" spans="8:11" x14ac:dyDescent="0.2">
      <c r="H159" s="3" t="str">
        <f>IF(F159="","",IF(F159&lt;=5,"On Time","Delayed"))</f>
        <v/>
      </c>
      <c r="I159" s="3" t="str">
        <f>IF(G159="","",IF(G159&lt;30,"Low",IF(G159&lt;70,"Medium","High")))</f>
        <v/>
      </c>
      <c r="J159" s="3" t="str">
        <f>IF(D159="","",IF(VALUE(LEFT(D159,2))&lt;6,"Night",IF(VALUE(LEFT(D159,2))&lt;12,"Morning",IF(VALUE(LEFT(D159,2))&lt;17,"Afternoon",IF(VALUE(LEFT(D159,2))&lt;21,"Evening","Night")))))</f>
        <v/>
      </c>
      <c r="K159" s="3" t="str">
        <f>IF(F159="","",IF(F159&lt;=5,"0-5 min",IF(F159&lt;=15,"6-15 min",IF(F159&lt;=25,"16-25 min","26+ min"))))</f>
        <v/>
      </c>
    </row>
    <row r="160" spans="8:11" x14ac:dyDescent="0.2">
      <c r="H160" s="3" t="str">
        <f>IF(F160="","",IF(F160&lt;=5,"On Time","Delayed"))</f>
        <v/>
      </c>
      <c r="I160" s="3" t="str">
        <f>IF(G160="","",IF(G160&lt;30,"Low",IF(G160&lt;70,"Medium","High")))</f>
        <v/>
      </c>
      <c r="J160" s="3" t="str">
        <f>IF(D160="","",IF(VALUE(LEFT(D160,2))&lt;6,"Night",IF(VALUE(LEFT(D160,2))&lt;12,"Morning",IF(VALUE(LEFT(D160,2))&lt;17,"Afternoon",IF(VALUE(LEFT(D160,2))&lt;21,"Evening","Night")))))</f>
        <v/>
      </c>
      <c r="K160" s="3" t="str">
        <f>IF(F160="","",IF(F160&lt;=5,"0-5 min",IF(F160&lt;=15,"6-15 min",IF(F160&lt;=25,"16-25 min","26+ min"))))</f>
        <v/>
      </c>
    </row>
    <row r="161" spans="8:11" x14ac:dyDescent="0.2">
      <c r="H161" s="3" t="str">
        <f>IF(F161="","",IF(F161&lt;=5,"On Time","Delayed"))</f>
        <v/>
      </c>
      <c r="I161" s="3" t="str">
        <f>IF(G161="","",IF(G161&lt;30,"Low",IF(G161&lt;70,"Medium","High")))</f>
        <v/>
      </c>
      <c r="J161" s="3" t="str">
        <f>IF(D161="","",IF(VALUE(LEFT(D161,2))&lt;6,"Night",IF(VALUE(LEFT(D161,2))&lt;12,"Morning",IF(VALUE(LEFT(D161,2))&lt;17,"Afternoon",IF(VALUE(LEFT(D161,2))&lt;21,"Evening","Night")))))</f>
        <v/>
      </c>
      <c r="K161" s="3" t="str">
        <f>IF(F161="","",IF(F161&lt;=5,"0-5 min",IF(F161&lt;=15,"6-15 min",IF(F161&lt;=25,"16-25 min","26+ min"))))</f>
        <v/>
      </c>
    </row>
    <row r="162" spans="8:11" x14ac:dyDescent="0.2">
      <c r="H162" s="3" t="str">
        <f>IF(F162="","",IF(F162&lt;=5,"On Time","Delayed"))</f>
        <v/>
      </c>
      <c r="I162" s="3" t="str">
        <f>IF(G162="","",IF(G162&lt;30,"Low",IF(G162&lt;70,"Medium","High")))</f>
        <v/>
      </c>
      <c r="J162" s="3" t="str">
        <f>IF(D162="","",IF(VALUE(LEFT(D162,2))&lt;6,"Night",IF(VALUE(LEFT(D162,2))&lt;12,"Morning",IF(VALUE(LEFT(D162,2))&lt;17,"Afternoon",IF(VALUE(LEFT(D162,2))&lt;21,"Evening","Night")))))</f>
        <v/>
      </c>
      <c r="K162" s="3" t="str">
        <f>IF(F162="","",IF(F162&lt;=5,"0-5 min",IF(F162&lt;=15,"6-15 min",IF(F162&lt;=25,"16-25 min","26+ min"))))</f>
        <v/>
      </c>
    </row>
    <row r="163" spans="8:11" x14ac:dyDescent="0.2">
      <c r="H163" s="3" t="str">
        <f>IF(F163="","",IF(F163&lt;=5,"On Time","Delayed"))</f>
        <v/>
      </c>
      <c r="I163" s="3" t="str">
        <f>IF(G163="","",IF(G163&lt;30,"Low",IF(G163&lt;70,"Medium","High")))</f>
        <v/>
      </c>
      <c r="J163" s="3" t="str">
        <f>IF(D163="","",IF(VALUE(LEFT(D163,2))&lt;6,"Night",IF(VALUE(LEFT(D163,2))&lt;12,"Morning",IF(VALUE(LEFT(D163,2))&lt;17,"Afternoon",IF(VALUE(LEFT(D163,2))&lt;21,"Evening","Night")))))</f>
        <v/>
      </c>
      <c r="K163" s="3" t="str">
        <f>IF(F163="","",IF(F163&lt;=5,"0-5 min",IF(F163&lt;=15,"6-15 min",IF(F163&lt;=25,"16-25 min","26+ min"))))</f>
        <v/>
      </c>
    </row>
    <row r="164" spans="8:11" x14ac:dyDescent="0.2">
      <c r="H164" s="3" t="str">
        <f>IF(F164="","",IF(F164&lt;=5,"On Time","Delayed"))</f>
        <v/>
      </c>
      <c r="I164" s="3" t="str">
        <f>IF(G164="","",IF(G164&lt;30,"Low",IF(G164&lt;70,"Medium","High")))</f>
        <v/>
      </c>
      <c r="J164" s="3" t="str">
        <f>IF(D164="","",IF(VALUE(LEFT(D164,2))&lt;6,"Night",IF(VALUE(LEFT(D164,2))&lt;12,"Morning",IF(VALUE(LEFT(D164,2))&lt;17,"Afternoon",IF(VALUE(LEFT(D164,2))&lt;21,"Evening","Night")))))</f>
        <v/>
      </c>
      <c r="K164" s="3" t="str">
        <f>IF(F164="","",IF(F164&lt;=5,"0-5 min",IF(F164&lt;=15,"6-15 min",IF(F164&lt;=25,"16-25 min","26+ min"))))</f>
        <v/>
      </c>
    </row>
    <row r="165" spans="8:11" x14ac:dyDescent="0.2">
      <c r="H165" s="3" t="str">
        <f>IF(F165="","",IF(F165&lt;=5,"On Time","Delayed"))</f>
        <v/>
      </c>
      <c r="I165" s="3" t="str">
        <f>IF(G165="","",IF(G165&lt;30,"Low",IF(G165&lt;70,"Medium","High")))</f>
        <v/>
      </c>
      <c r="J165" s="3" t="str">
        <f>IF(D165="","",IF(VALUE(LEFT(D165,2))&lt;6,"Night",IF(VALUE(LEFT(D165,2))&lt;12,"Morning",IF(VALUE(LEFT(D165,2))&lt;17,"Afternoon",IF(VALUE(LEFT(D165,2))&lt;21,"Evening","Night")))))</f>
        <v/>
      </c>
      <c r="K165" s="3" t="str">
        <f>IF(F165="","",IF(F165&lt;=5,"0-5 min",IF(F165&lt;=15,"6-15 min",IF(F165&lt;=25,"16-25 min","26+ min"))))</f>
        <v/>
      </c>
    </row>
    <row r="166" spans="8:11" x14ac:dyDescent="0.2">
      <c r="H166" s="3" t="str">
        <f>IF(F166="","",IF(F166&lt;=5,"On Time","Delayed"))</f>
        <v/>
      </c>
      <c r="I166" s="3" t="str">
        <f>IF(G166="","",IF(G166&lt;30,"Low",IF(G166&lt;70,"Medium","High")))</f>
        <v/>
      </c>
      <c r="J166" s="3" t="str">
        <f>IF(D166="","",IF(VALUE(LEFT(D166,2))&lt;6,"Night",IF(VALUE(LEFT(D166,2))&lt;12,"Morning",IF(VALUE(LEFT(D166,2))&lt;17,"Afternoon",IF(VALUE(LEFT(D166,2))&lt;21,"Evening","Night")))))</f>
        <v/>
      </c>
      <c r="K166" s="3" t="str">
        <f>IF(F166="","",IF(F166&lt;=5,"0-5 min",IF(F166&lt;=15,"6-15 min",IF(F166&lt;=25,"16-25 min","26+ min"))))</f>
        <v/>
      </c>
    </row>
    <row r="167" spans="8:11" x14ac:dyDescent="0.2">
      <c r="H167" s="3" t="str">
        <f>IF(F167="","",IF(F167&lt;=5,"On Time","Delayed"))</f>
        <v/>
      </c>
      <c r="I167" s="3" t="str">
        <f>IF(G167="","",IF(G167&lt;30,"Low",IF(G167&lt;70,"Medium","High")))</f>
        <v/>
      </c>
      <c r="J167" s="3" t="str">
        <f>IF(D167="","",IF(VALUE(LEFT(D167,2))&lt;6,"Night",IF(VALUE(LEFT(D167,2))&lt;12,"Morning",IF(VALUE(LEFT(D167,2))&lt;17,"Afternoon",IF(VALUE(LEFT(D167,2))&lt;21,"Evening","Night")))))</f>
        <v/>
      </c>
      <c r="K167" s="3" t="str">
        <f>IF(F167="","",IF(F167&lt;=5,"0-5 min",IF(F167&lt;=15,"6-15 min",IF(F167&lt;=25,"16-25 min","26+ min"))))</f>
        <v/>
      </c>
    </row>
    <row r="168" spans="8:11" x14ac:dyDescent="0.2">
      <c r="H168" s="3" t="str">
        <f>IF(F168="","",IF(F168&lt;=5,"On Time","Delayed"))</f>
        <v/>
      </c>
      <c r="I168" s="3" t="str">
        <f>IF(G168="","",IF(G168&lt;30,"Low",IF(G168&lt;70,"Medium","High")))</f>
        <v/>
      </c>
      <c r="J168" s="3" t="str">
        <f>IF(D168="","",IF(VALUE(LEFT(D168,2))&lt;6,"Night",IF(VALUE(LEFT(D168,2))&lt;12,"Morning",IF(VALUE(LEFT(D168,2))&lt;17,"Afternoon",IF(VALUE(LEFT(D168,2))&lt;21,"Evening","Night")))))</f>
        <v/>
      </c>
      <c r="K168" s="3" t="str">
        <f>IF(F168="","",IF(F168&lt;=5,"0-5 min",IF(F168&lt;=15,"6-15 min",IF(F168&lt;=25,"16-25 min","26+ min"))))</f>
        <v/>
      </c>
    </row>
    <row r="169" spans="8:11" x14ac:dyDescent="0.2">
      <c r="H169" s="3" t="str">
        <f>IF(F169="","",IF(F169&lt;=5,"On Time","Delayed"))</f>
        <v/>
      </c>
      <c r="I169" s="3" t="str">
        <f>IF(G169="","",IF(G169&lt;30,"Low",IF(G169&lt;70,"Medium","High")))</f>
        <v/>
      </c>
      <c r="J169" s="3" t="str">
        <f>IF(D169="","",IF(VALUE(LEFT(D169,2))&lt;6,"Night",IF(VALUE(LEFT(D169,2))&lt;12,"Morning",IF(VALUE(LEFT(D169,2))&lt;17,"Afternoon",IF(VALUE(LEFT(D169,2))&lt;21,"Evening","Night")))))</f>
        <v/>
      </c>
      <c r="K169" s="3" t="str">
        <f>IF(F169="","",IF(F169&lt;=5,"0-5 min",IF(F169&lt;=15,"6-15 min",IF(F169&lt;=25,"16-25 min","26+ min"))))</f>
        <v/>
      </c>
    </row>
    <row r="170" spans="8:11" x14ac:dyDescent="0.2">
      <c r="H170" s="3" t="str">
        <f>IF(F170="","",IF(F170&lt;=5,"On Time","Delayed"))</f>
        <v/>
      </c>
      <c r="I170" s="3" t="str">
        <f>IF(G170="","",IF(G170&lt;30,"Low",IF(G170&lt;70,"Medium","High")))</f>
        <v/>
      </c>
      <c r="J170" s="3" t="str">
        <f>IF(D170="","",IF(VALUE(LEFT(D170,2))&lt;6,"Night",IF(VALUE(LEFT(D170,2))&lt;12,"Morning",IF(VALUE(LEFT(D170,2))&lt;17,"Afternoon",IF(VALUE(LEFT(D170,2))&lt;21,"Evening","Night")))))</f>
        <v/>
      </c>
      <c r="K170" s="3" t="str">
        <f>IF(F170="","",IF(F170&lt;=5,"0-5 min",IF(F170&lt;=15,"6-15 min",IF(F170&lt;=25,"16-25 min","26+ min"))))</f>
        <v/>
      </c>
    </row>
    <row r="171" spans="8:11" x14ac:dyDescent="0.2">
      <c r="H171" s="3" t="str">
        <f>IF(F171="","",IF(F171&lt;=5,"On Time","Delayed"))</f>
        <v/>
      </c>
      <c r="I171" s="3" t="str">
        <f>IF(G171="","",IF(G171&lt;30,"Low",IF(G171&lt;70,"Medium","High")))</f>
        <v/>
      </c>
      <c r="J171" s="3" t="str">
        <f>IF(D171="","",IF(VALUE(LEFT(D171,2))&lt;6,"Night",IF(VALUE(LEFT(D171,2))&lt;12,"Morning",IF(VALUE(LEFT(D171,2))&lt;17,"Afternoon",IF(VALUE(LEFT(D171,2))&lt;21,"Evening","Night")))))</f>
        <v/>
      </c>
      <c r="K171" s="3" t="str">
        <f>IF(F171="","",IF(F171&lt;=5,"0-5 min",IF(F171&lt;=15,"6-15 min",IF(F171&lt;=25,"16-25 min","26+ min"))))</f>
        <v/>
      </c>
    </row>
    <row r="172" spans="8:11" x14ac:dyDescent="0.2">
      <c r="H172" s="3" t="str">
        <f>IF(F172="","",IF(F172&lt;=5,"On Time","Delayed"))</f>
        <v/>
      </c>
      <c r="I172" s="3" t="str">
        <f>IF(G172="","",IF(G172&lt;30,"Low",IF(G172&lt;70,"Medium","High")))</f>
        <v/>
      </c>
      <c r="J172" s="3" t="str">
        <f>IF(D172="","",IF(VALUE(LEFT(D172,2))&lt;6,"Night",IF(VALUE(LEFT(D172,2))&lt;12,"Morning",IF(VALUE(LEFT(D172,2))&lt;17,"Afternoon",IF(VALUE(LEFT(D172,2))&lt;21,"Evening","Night")))))</f>
        <v/>
      </c>
      <c r="K172" s="3" t="str">
        <f>IF(F172="","",IF(F172&lt;=5,"0-5 min",IF(F172&lt;=15,"6-15 min",IF(F172&lt;=25,"16-25 min","26+ min"))))</f>
        <v/>
      </c>
    </row>
    <row r="173" spans="8:11" x14ac:dyDescent="0.2">
      <c r="H173" s="3" t="str">
        <f>IF(F173="","",IF(F173&lt;=5,"On Time","Delayed"))</f>
        <v/>
      </c>
      <c r="I173" s="3" t="str">
        <f>IF(G173="","",IF(G173&lt;30,"Low",IF(G173&lt;70,"Medium","High")))</f>
        <v/>
      </c>
      <c r="J173" s="3" t="str">
        <f>IF(D173="","",IF(VALUE(LEFT(D173,2))&lt;6,"Night",IF(VALUE(LEFT(D173,2))&lt;12,"Morning",IF(VALUE(LEFT(D173,2))&lt;17,"Afternoon",IF(VALUE(LEFT(D173,2))&lt;21,"Evening","Night")))))</f>
        <v/>
      </c>
      <c r="K173" s="3" t="str">
        <f>IF(F173="","",IF(F173&lt;=5,"0-5 min",IF(F173&lt;=15,"6-15 min",IF(F173&lt;=25,"16-25 min","26+ min"))))</f>
        <v/>
      </c>
    </row>
    <row r="174" spans="8:11" x14ac:dyDescent="0.2">
      <c r="H174" s="3" t="str">
        <f>IF(F174="","",IF(F174&lt;=5,"On Time","Delayed"))</f>
        <v/>
      </c>
      <c r="I174" s="3" t="str">
        <f>IF(G174="","",IF(G174&lt;30,"Low",IF(G174&lt;70,"Medium","High")))</f>
        <v/>
      </c>
      <c r="J174" s="3" t="str">
        <f>IF(D174="","",IF(VALUE(LEFT(D174,2))&lt;6,"Night",IF(VALUE(LEFT(D174,2))&lt;12,"Morning",IF(VALUE(LEFT(D174,2))&lt;17,"Afternoon",IF(VALUE(LEFT(D174,2))&lt;21,"Evening","Night")))))</f>
        <v/>
      </c>
      <c r="K174" s="3" t="str">
        <f>IF(F174="","",IF(F174&lt;=5,"0-5 min",IF(F174&lt;=15,"6-15 min",IF(F174&lt;=25,"16-25 min","26+ min"))))</f>
        <v/>
      </c>
    </row>
    <row r="175" spans="8:11" x14ac:dyDescent="0.2">
      <c r="H175" s="3" t="str">
        <f>IF(F175="","",IF(F175&lt;=5,"On Time","Delayed"))</f>
        <v/>
      </c>
      <c r="I175" s="3" t="str">
        <f>IF(G175="","",IF(G175&lt;30,"Low",IF(G175&lt;70,"Medium","High")))</f>
        <v/>
      </c>
      <c r="J175" s="3" t="str">
        <f>IF(D175="","",IF(VALUE(LEFT(D175,2))&lt;6,"Night",IF(VALUE(LEFT(D175,2))&lt;12,"Morning",IF(VALUE(LEFT(D175,2))&lt;17,"Afternoon",IF(VALUE(LEFT(D175,2))&lt;21,"Evening","Night")))))</f>
        <v/>
      </c>
      <c r="K175" s="3" t="str">
        <f>IF(F175="","",IF(F175&lt;=5,"0-5 min",IF(F175&lt;=15,"6-15 min",IF(F175&lt;=25,"16-25 min","26+ min"))))</f>
        <v/>
      </c>
    </row>
    <row r="176" spans="8:11" x14ac:dyDescent="0.2">
      <c r="H176" s="3" t="str">
        <f>IF(F176="","",IF(F176&lt;=5,"On Time","Delayed"))</f>
        <v/>
      </c>
      <c r="I176" s="3" t="str">
        <f>IF(G176="","",IF(G176&lt;30,"Low",IF(G176&lt;70,"Medium","High")))</f>
        <v/>
      </c>
      <c r="J176" s="3" t="str">
        <f>IF(D176="","",IF(VALUE(LEFT(D176,2))&lt;6,"Night",IF(VALUE(LEFT(D176,2))&lt;12,"Morning",IF(VALUE(LEFT(D176,2))&lt;17,"Afternoon",IF(VALUE(LEFT(D176,2))&lt;21,"Evening","Night")))))</f>
        <v/>
      </c>
      <c r="K176" s="3" t="str">
        <f>IF(F176="","",IF(F176&lt;=5,"0-5 min",IF(F176&lt;=15,"6-15 min",IF(F176&lt;=25,"16-25 min","26+ min"))))</f>
        <v/>
      </c>
    </row>
    <row r="177" spans="8:11" x14ac:dyDescent="0.2">
      <c r="H177" s="3" t="str">
        <f>IF(F177="","",IF(F177&lt;=5,"On Time","Delayed"))</f>
        <v/>
      </c>
      <c r="I177" s="3" t="str">
        <f>IF(G177="","",IF(G177&lt;30,"Low",IF(G177&lt;70,"Medium","High")))</f>
        <v/>
      </c>
      <c r="J177" s="3" t="str">
        <f>IF(D177="","",IF(VALUE(LEFT(D177,2))&lt;6,"Night",IF(VALUE(LEFT(D177,2))&lt;12,"Morning",IF(VALUE(LEFT(D177,2))&lt;17,"Afternoon",IF(VALUE(LEFT(D177,2))&lt;21,"Evening","Night")))))</f>
        <v/>
      </c>
      <c r="K177" s="3" t="str">
        <f>IF(F177="","",IF(F177&lt;=5,"0-5 min",IF(F177&lt;=15,"6-15 min",IF(F177&lt;=25,"16-25 min","26+ min"))))</f>
        <v/>
      </c>
    </row>
    <row r="178" spans="8:11" x14ac:dyDescent="0.2">
      <c r="H178" s="3" t="str">
        <f>IF(F178="","",IF(F178&lt;=5,"On Time","Delayed"))</f>
        <v/>
      </c>
      <c r="I178" s="3" t="str">
        <f>IF(G178="","",IF(G178&lt;30,"Low",IF(G178&lt;70,"Medium","High")))</f>
        <v/>
      </c>
      <c r="J178" s="3" t="str">
        <f>IF(D178="","",IF(VALUE(LEFT(D178,2))&lt;6,"Night",IF(VALUE(LEFT(D178,2))&lt;12,"Morning",IF(VALUE(LEFT(D178,2))&lt;17,"Afternoon",IF(VALUE(LEFT(D178,2))&lt;21,"Evening","Night")))))</f>
        <v/>
      </c>
      <c r="K178" s="3" t="str">
        <f>IF(F178="","",IF(F178&lt;=5,"0-5 min",IF(F178&lt;=15,"6-15 min",IF(F178&lt;=25,"16-25 min","26+ min"))))</f>
        <v/>
      </c>
    </row>
    <row r="179" spans="8:11" x14ac:dyDescent="0.2">
      <c r="H179" s="3" t="str">
        <f>IF(F179="","",IF(F179&lt;=5,"On Time","Delayed"))</f>
        <v/>
      </c>
      <c r="I179" s="3" t="str">
        <f>IF(G179="","",IF(G179&lt;30,"Low",IF(G179&lt;70,"Medium","High")))</f>
        <v/>
      </c>
      <c r="J179" s="3" t="str">
        <f>IF(D179="","",IF(VALUE(LEFT(D179,2))&lt;6,"Night",IF(VALUE(LEFT(D179,2))&lt;12,"Morning",IF(VALUE(LEFT(D179,2))&lt;17,"Afternoon",IF(VALUE(LEFT(D179,2))&lt;21,"Evening","Night")))))</f>
        <v/>
      </c>
      <c r="K179" s="3" t="str">
        <f>IF(F179="","",IF(F179&lt;=5,"0-5 min",IF(F179&lt;=15,"6-15 min",IF(F179&lt;=25,"16-25 min","26+ min"))))</f>
        <v/>
      </c>
    </row>
    <row r="180" spans="8:11" x14ac:dyDescent="0.2">
      <c r="H180" s="3" t="str">
        <f>IF(F180="","",IF(F180&lt;=5,"On Time","Delayed"))</f>
        <v/>
      </c>
      <c r="I180" s="3" t="str">
        <f>IF(G180="","",IF(G180&lt;30,"Low",IF(G180&lt;70,"Medium","High")))</f>
        <v/>
      </c>
      <c r="J180" s="3" t="str">
        <f>IF(D180="","",IF(VALUE(LEFT(D180,2))&lt;6,"Night",IF(VALUE(LEFT(D180,2))&lt;12,"Morning",IF(VALUE(LEFT(D180,2))&lt;17,"Afternoon",IF(VALUE(LEFT(D180,2))&lt;21,"Evening","Night")))))</f>
        <v/>
      </c>
      <c r="K180" s="3" t="str">
        <f>IF(F180="","",IF(F180&lt;=5,"0-5 min",IF(F180&lt;=15,"6-15 min",IF(F180&lt;=25,"16-25 min","26+ min"))))</f>
        <v/>
      </c>
    </row>
    <row r="181" spans="8:11" x14ac:dyDescent="0.2">
      <c r="H181" s="3" t="str">
        <f>IF(F181="","",IF(F181&lt;=5,"On Time","Delayed"))</f>
        <v/>
      </c>
      <c r="I181" s="3" t="str">
        <f>IF(G181="","",IF(G181&lt;30,"Low",IF(G181&lt;70,"Medium","High")))</f>
        <v/>
      </c>
      <c r="J181" s="3" t="str">
        <f>IF(D181="","",IF(VALUE(LEFT(D181,2))&lt;6,"Night",IF(VALUE(LEFT(D181,2))&lt;12,"Morning",IF(VALUE(LEFT(D181,2))&lt;17,"Afternoon",IF(VALUE(LEFT(D181,2))&lt;21,"Evening","Night")))))</f>
        <v/>
      </c>
      <c r="K181" s="3" t="str">
        <f>IF(F181="","",IF(F181&lt;=5,"0-5 min",IF(F181&lt;=15,"6-15 min",IF(F181&lt;=25,"16-25 min","26+ min"))))</f>
        <v/>
      </c>
    </row>
    <row r="182" spans="8:11" x14ac:dyDescent="0.2">
      <c r="H182" s="3" t="str">
        <f>IF(F182="","",IF(F182&lt;=5,"On Time","Delayed"))</f>
        <v/>
      </c>
      <c r="I182" s="3" t="str">
        <f>IF(G182="","",IF(G182&lt;30,"Low",IF(G182&lt;70,"Medium","High")))</f>
        <v/>
      </c>
      <c r="J182" s="3" t="str">
        <f>IF(D182="","",IF(VALUE(LEFT(D182,2))&lt;6,"Night",IF(VALUE(LEFT(D182,2))&lt;12,"Morning",IF(VALUE(LEFT(D182,2))&lt;17,"Afternoon",IF(VALUE(LEFT(D182,2))&lt;21,"Evening","Night")))))</f>
        <v/>
      </c>
      <c r="K182" s="3" t="str">
        <f>IF(F182="","",IF(F182&lt;=5,"0-5 min",IF(F182&lt;=15,"6-15 min",IF(F182&lt;=25,"16-25 min","26+ min"))))</f>
        <v/>
      </c>
    </row>
    <row r="183" spans="8:11" x14ac:dyDescent="0.2">
      <c r="H183" s="3" t="str">
        <f>IF(F183="","",IF(F183&lt;=5,"On Time","Delayed"))</f>
        <v/>
      </c>
      <c r="I183" s="3" t="str">
        <f>IF(G183="","",IF(G183&lt;30,"Low",IF(G183&lt;70,"Medium","High")))</f>
        <v/>
      </c>
      <c r="J183" s="3" t="str">
        <f>IF(D183="","",IF(VALUE(LEFT(D183,2))&lt;6,"Night",IF(VALUE(LEFT(D183,2))&lt;12,"Morning",IF(VALUE(LEFT(D183,2))&lt;17,"Afternoon",IF(VALUE(LEFT(D183,2))&lt;21,"Evening","Night")))))</f>
        <v/>
      </c>
      <c r="K183" s="3" t="str">
        <f>IF(F183="","",IF(F183&lt;=5,"0-5 min",IF(F183&lt;=15,"6-15 min",IF(F183&lt;=25,"16-25 min","26+ min"))))</f>
        <v/>
      </c>
    </row>
    <row r="184" spans="8:11" x14ac:dyDescent="0.2">
      <c r="H184" s="3" t="str">
        <f>IF(F184="","",IF(F184&lt;=5,"On Time","Delayed"))</f>
        <v/>
      </c>
      <c r="I184" s="3" t="str">
        <f>IF(G184="","",IF(G184&lt;30,"Low",IF(G184&lt;70,"Medium","High")))</f>
        <v/>
      </c>
      <c r="J184" s="3" t="str">
        <f>IF(D184="","",IF(VALUE(LEFT(D184,2))&lt;6,"Night",IF(VALUE(LEFT(D184,2))&lt;12,"Morning",IF(VALUE(LEFT(D184,2))&lt;17,"Afternoon",IF(VALUE(LEFT(D184,2))&lt;21,"Evening","Night")))))</f>
        <v/>
      </c>
      <c r="K184" s="3" t="str">
        <f>IF(F184="","",IF(F184&lt;=5,"0-5 min",IF(F184&lt;=15,"6-15 min",IF(F184&lt;=25,"16-25 min","26+ min"))))</f>
        <v/>
      </c>
    </row>
    <row r="185" spans="8:11" x14ac:dyDescent="0.2">
      <c r="H185" s="3" t="str">
        <f>IF(F185="","",IF(F185&lt;=5,"On Time","Delayed"))</f>
        <v/>
      </c>
      <c r="I185" s="3" t="str">
        <f>IF(G185="","",IF(G185&lt;30,"Low",IF(G185&lt;70,"Medium","High")))</f>
        <v/>
      </c>
      <c r="J185" s="3" t="str">
        <f>IF(D185="","",IF(VALUE(LEFT(D185,2))&lt;6,"Night",IF(VALUE(LEFT(D185,2))&lt;12,"Morning",IF(VALUE(LEFT(D185,2))&lt;17,"Afternoon",IF(VALUE(LEFT(D185,2))&lt;21,"Evening","Night")))))</f>
        <v/>
      </c>
      <c r="K185" s="3" t="str">
        <f>IF(F185="","",IF(F185&lt;=5,"0-5 min",IF(F185&lt;=15,"6-15 min",IF(F185&lt;=25,"16-25 min","26+ min"))))</f>
        <v/>
      </c>
    </row>
    <row r="186" spans="8:11" x14ac:dyDescent="0.2">
      <c r="H186" s="3" t="str">
        <f>IF(F186="","",IF(F186&lt;=5,"On Time","Delayed"))</f>
        <v/>
      </c>
      <c r="I186" s="3" t="str">
        <f>IF(G186="","",IF(G186&lt;30,"Low",IF(G186&lt;70,"Medium","High")))</f>
        <v/>
      </c>
      <c r="J186" s="3" t="str">
        <f>IF(D186="","",IF(VALUE(LEFT(D186,2))&lt;6,"Night",IF(VALUE(LEFT(D186,2))&lt;12,"Morning",IF(VALUE(LEFT(D186,2))&lt;17,"Afternoon",IF(VALUE(LEFT(D186,2))&lt;21,"Evening","Night")))))</f>
        <v/>
      </c>
      <c r="K186" s="3" t="str">
        <f>IF(F186="","",IF(F186&lt;=5,"0-5 min",IF(F186&lt;=15,"6-15 min",IF(F186&lt;=25,"16-25 min","26+ min"))))</f>
        <v/>
      </c>
    </row>
    <row r="187" spans="8:11" x14ac:dyDescent="0.2">
      <c r="H187" s="3" t="str">
        <f>IF(F187="","",IF(F187&lt;=5,"On Time","Delayed"))</f>
        <v/>
      </c>
      <c r="I187" s="3" t="str">
        <f>IF(G187="","",IF(G187&lt;30,"Low",IF(G187&lt;70,"Medium","High")))</f>
        <v/>
      </c>
      <c r="J187" s="3" t="str">
        <f>IF(D187="","",IF(VALUE(LEFT(D187,2))&lt;6,"Night",IF(VALUE(LEFT(D187,2))&lt;12,"Morning",IF(VALUE(LEFT(D187,2))&lt;17,"Afternoon",IF(VALUE(LEFT(D187,2))&lt;21,"Evening","Night")))))</f>
        <v/>
      </c>
      <c r="K187" s="3" t="str">
        <f>IF(F187="","",IF(F187&lt;=5,"0-5 min",IF(F187&lt;=15,"6-15 min",IF(F187&lt;=25,"16-25 min","26+ min"))))</f>
        <v/>
      </c>
    </row>
    <row r="188" spans="8:11" x14ac:dyDescent="0.2">
      <c r="H188" s="3" t="str">
        <f>IF(F188="","",IF(F188&lt;=5,"On Time","Delayed"))</f>
        <v/>
      </c>
      <c r="I188" s="3" t="str">
        <f>IF(G188="","",IF(G188&lt;30,"Low",IF(G188&lt;70,"Medium","High")))</f>
        <v/>
      </c>
      <c r="J188" s="3" t="str">
        <f>IF(D188="","",IF(VALUE(LEFT(D188,2))&lt;6,"Night",IF(VALUE(LEFT(D188,2))&lt;12,"Morning",IF(VALUE(LEFT(D188,2))&lt;17,"Afternoon",IF(VALUE(LEFT(D188,2))&lt;21,"Evening","Night")))))</f>
        <v/>
      </c>
      <c r="K188" s="3" t="str">
        <f>IF(F188="","",IF(F188&lt;=5,"0-5 min",IF(F188&lt;=15,"6-15 min",IF(F188&lt;=25,"16-25 min","26+ min"))))</f>
        <v/>
      </c>
    </row>
    <row r="189" spans="8:11" x14ac:dyDescent="0.2">
      <c r="H189" s="3" t="str">
        <f>IF(F189="","",IF(F189&lt;=5,"On Time","Delayed"))</f>
        <v/>
      </c>
      <c r="I189" s="3" t="str">
        <f>IF(G189="","",IF(G189&lt;30,"Low",IF(G189&lt;70,"Medium","High")))</f>
        <v/>
      </c>
      <c r="J189" s="3" t="str">
        <f>IF(D189="","",IF(VALUE(LEFT(D189,2))&lt;6,"Night",IF(VALUE(LEFT(D189,2))&lt;12,"Morning",IF(VALUE(LEFT(D189,2))&lt;17,"Afternoon",IF(VALUE(LEFT(D189,2))&lt;21,"Evening","Night")))))</f>
        <v/>
      </c>
      <c r="K189" s="3" t="str">
        <f>IF(F189="","",IF(F189&lt;=5,"0-5 min",IF(F189&lt;=15,"6-15 min",IF(F189&lt;=25,"16-25 min","26+ min"))))</f>
        <v/>
      </c>
    </row>
    <row r="190" spans="8:11" x14ac:dyDescent="0.2">
      <c r="H190" s="3" t="str">
        <f>IF(F190="","",IF(F190&lt;=5,"On Time","Delayed"))</f>
        <v/>
      </c>
      <c r="I190" s="3" t="str">
        <f>IF(G190="","",IF(G190&lt;30,"Low",IF(G190&lt;70,"Medium","High")))</f>
        <v/>
      </c>
      <c r="J190" s="3" t="str">
        <f>IF(D190="","",IF(VALUE(LEFT(D190,2))&lt;6,"Night",IF(VALUE(LEFT(D190,2))&lt;12,"Morning",IF(VALUE(LEFT(D190,2))&lt;17,"Afternoon",IF(VALUE(LEFT(D190,2))&lt;21,"Evening","Night")))))</f>
        <v/>
      </c>
      <c r="K190" s="3" t="str">
        <f>IF(F190="","",IF(F190&lt;=5,"0-5 min",IF(F190&lt;=15,"6-15 min",IF(F190&lt;=25,"16-25 min","26+ min"))))</f>
        <v/>
      </c>
    </row>
    <row r="191" spans="8:11" x14ac:dyDescent="0.2">
      <c r="H191" s="3" t="str">
        <f>IF(F191="","",IF(F191&lt;=5,"On Time","Delayed"))</f>
        <v/>
      </c>
      <c r="I191" s="3" t="str">
        <f>IF(G191="","",IF(G191&lt;30,"Low",IF(G191&lt;70,"Medium","High")))</f>
        <v/>
      </c>
      <c r="J191" s="3" t="str">
        <f>IF(D191="","",IF(VALUE(LEFT(D191,2))&lt;6,"Night",IF(VALUE(LEFT(D191,2))&lt;12,"Morning",IF(VALUE(LEFT(D191,2))&lt;17,"Afternoon",IF(VALUE(LEFT(D191,2))&lt;21,"Evening","Night")))))</f>
        <v/>
      </c>
      <c r="K191" s="3" t="str">
        <f>IF(F191="","",IF(F191&lt;=5,"0-5 min",IF(F191&lt;=15,"6-15 min",IF(F191&lt;=25,"16-25 min","26+ min"))))</f>
        <v/>
      </c>
    </row>
    <row r="192" spans="8:11" x14ac:dyDescent="0.2">
      <c r="H192" s="3" t="str">
        <f>IF(F192="","",IF(F192&lt;=5,"On Time","Delayed"))</f>
        <v/>
      </c>
      <c r="I192" s="3" t="str">
        <f>IF(G192="","",IF(G192&lt;30,"Low",IF(G192&lt;70,"Medium","High")))</f>
        <v/>
      </c>
      <c r="J192" s="3" t="str">
        <f>IF(D192="","",IF(VALUE(LEFT(D192,2))&lt;6,"Night",IF(VALUE(LEFT(D192,2))&lt;12,"Morning",IF(VALUE(LEFT(D192,2))&lt;17,"Afternoon",IF(VALUE(LEFT(D192,2))&lt;21,"Evening","Night")))))</f>
        <v/>
      </c>
      <c r="K192" s="3" t="str">
        <f>IF(F192="","",IF(F192&lt;=5,"0-5 min",IF(F192&lt;=15,"6-15 min",IF(F192&lt;=25,"16-25 min","26+ min"))))</f>
        <v/>
      </c>
    </row>
    <row r="193" spans="8:11" x14ac:dyDescent="0.2">
      <c r="H193" s="3" t="str">
        <f>IF(F193="","",IF(F193&lt;=5,"On Time","Delayed"))</f>
        <v/>
      </c>
      <c r="I193" s="3" t="str">
        <f>IF(G193="","",IF(G193&lt;30,"Low",IF(G193&lt;70,"Medium","High")))</f>
        <v/>
      </c>
      <c r="J193" s="3" t="str">
        <f>IF(D193="","",IF(VALUE(LEFT(D193,2))&lt;6,"Night",IF(VALUE(LEFT(D193,2))&lt;12,"Morning",IF(VALUE(LEFT(D193,2))&lt;17,"Afternoon",IF(VALUE(LEFT(D193,2))&lt;21,"Evening","Night")))))</f>
        <v/>
      </c>
      <c r="K193" s="3" t="str">
        <f>IF(F193="","",IF(F193&lt;=5,"0-5 min",IF(F193&lt;=15,"6-15 min",IF(F193&lt;=25,"16-25 min","26+ min"))))</f>
        <v/>
      </c>
    </row>
    <row r="194" spans="8:11" x14ac:dyDescent="0.2">
      <c r="H194" s="3" t="str">
        <f>IF(F194="","",IF(F194&lt;=5,"On Time","Delayed"))</f>
        <v/>
      </c>
      <c r="I194" s="3" t="str">
        <f>IF(G194="","",IF(G194&lt;30,"Low",IF(G194&lt;70,"Medium","High")))</f>
        <v/>
      </c>
      <c r="J194" s="3" t="str">
        <f>IF(D194="","",IF(VALUE(LEFT(D194,2))&lt;6,"Night",IF(VALUE(LEFT(D194,2))&lt;12,"Morning",IF(VALUE(LEFT(D194,2))&lt;17,"Afternoon",IF(VALUE(LEFT(D194,2))&lt;21,"Evening","Night")))))</f>
        <v/>
      </c>
      <c r="K194" s="3" t="str">
        <f>IF(F194="","",IF(F194&lt;=5,"0-5 min",IF(F194&lt;=15,"6-15 min",IF(F194&lt;=25,"16-25 min","26+ min"))))</f>
        <v/>
      </c>
    </row>
    <row r="195" spans="8:11" x14ac:dyDescent="0.2">
      <c r="H195" s="3" t="str">
        <f>IF(F195="","",IF(F195&lt;=5,"On Time","Delayed"))</f>
        <v/>
      </c>
      <c r="I195" s="3" t="str">
        <f>IF(G195="","",IF(G195&lt;30,"Low",IF(G195&lt;70,"Medium","High")))</f>
        <v/>
      </c>
      <c r="J195" s="3" t="str">
        <f>IF(D195="","",IF(VALUE(LEFT(D195,2))&lt;6,"Night",IF(VALUE(LEFT(D195,2))&lt;12,"Morning",IF(VALUE(LEFT(D195,2))&lt;17,"Afternoon",IF(VALUE(LEFT(D195,2))&lt;21,"Evening","Night")))))</f>
        <v/>
      </c>
      <c r="K195" s="3" t="str">
        <f>IF(F195="","",IF(F195&lt;=5,"0-5 min",IF(F195&lt;=15,"6-15 min",IF(F195&lt;=25,"16-25 min","26+ min"))))</f>
        <v/>
      </c>
    </row>
    <row r="196" spans="8:11" x14ac:dyDescent="0.2">
      <c r="H196" s="3" t="str">
        <f>IF(F196="","",IF(F196&lt;=5,"On Time","Delayed"))</f>
        <v/>
      </c>
      <c r="I196" s="3" t="str">
        <f>IF(G196="","",IF(G196&lt;30,"Low",IF(G196&lt;70,"Medium","High")))</f>
        <v/>
      </c>
      <c r="J196" s="3" t="str">
        <f>IF(D196="","",IF(VALUE(LEFT(D196,2))&lt;6,"Night",IF(VALUE(LEFT(D196,2))&lt;12,"Morning",IF(VALUE(LEFT(D196,2))&lt;17,"Afternoon",IF(VALUE(LEFT(D196,2))&lt;21,"Evening","Night")))))</f>
        <v/>
      </c>
      <c r="K196" s="3" t="str">
        <f>IF(F196="","",IF(F196&lt;=5,"0-5 min",IF(F196&lt;=15,"6-15 min",IF(F196&lt;=25,"16-25 min","26+ min"))))</f>
        <v/>
      </c>
    </row>
    <row r="197" spans="8:11" x14ac:dyDescent="0.2">
      <c r="H197" s="3" t="str">
        <f>IF(F197="","",IF(F197&lt;=5,"On Time","Delayed"))</f>
        <v/>
      </c>
      <c r="I197" s="3" t="str">
        <f>IF(G197="","",IF(G197&lt;30,"Low",IF(G197&lt;70,"Medium","High")))</f>
        <v/>
      </c>
      <c r="J197" s="3" t="str">
        <f>IF(D197="","",IF(VALUE(LEFT(D197,2))&lt;6,"Night",IF(VALUE(LEFT(D197,2))&lt;12,"Morning",IF(VALUE(LEFT(D197,2))&lt;17,"Afternoon",IF(VALUE(LEFT(D197,2))&lt;21,"Evening","Night")))))</f>
        <v/>
      </c>
      <c r="K197" s="3" t="str">
        <f>IF(F197="","",IF(F197&lt;=5,"0-5 min",IF(F197&lt;=15,"6-15 min",IF(F197&lt;=25,"16-25 min","26+ min"))))</f>
        <v/>
      </c>
    </row>
    <row r="198" spans="8:11" x14ac:dyDescent="0.2">
      <c r="H198" s="3" t="str">
        <f>IF(F198="","",IF(F198&lt;=5,"On Time","Delayed"))</f>
        <v/>
      </c>
      <c r="I198" s="3" t="str">
        <f>IF(G198="","",IF(G198&lt;30,"Low",IF(G198&lt;70,"Medium","High")))</f>
        <v/>
      </c>
      <c r="J198" s="3" t="str">
        <f>IF(D198="","",IF(VALUE(LEFT(D198,2))&lt;6,"Night",IF(VALUE(LEFT(D198,2))&lt;12,"Morning",IF(VALUE(LEFT(D198,2))&lt;17,"Afternoon",IF(VALUE(LEFT(D198,2))&lt;21,"Evening","Night")))))</f>
        <v/>
      </c>
      <c r="K198" s="3" t="str">
        <f>IF(F198="","",IF(F198&lt;=5,"0-5 min",IF(F198&lt;=15,"6-15 min",IF(F198&lt;=25,"16-25 min","26+ min"))))</f>
        <v/>
      </c>
    </row>
    <row r="199" spans="8:11" x14ac:dyDescent="0.2">
      <c r="H199" s="3" t="str">
        <f>IF(F199="","",IF(F199&lt;=5,"On Time","Delayed"))</f>
        <v/>
      </c>
      <c r="I199" s="3" t="str">
        <f>IF(G199="","",IF(G199&lt;30,"Low",IF(G199&lt;70,"Medium","High")))</f>
        <v/>
      </c>
      <c r="J199" s="3" t="str">
        <f>IF(D199="","",IF(VALUE(LEFT(D199,2))&lt;6,"Night",IF(VALUE(LEFT(D199,2))&lt;12,"Morning",IF(VALUE(LEFT(D199,2))&lt;17,"Afternoon",IF(VALUE(LEFT(D199,2))&lt;21,"Evening","Night")))))</f>
        <v/>
      </c>
      <c r="K199" s="3" t="str">
        <f>IF(F199="","",IF(F199&lt;=5,"0-5 min",IF(F199&lt;=15,"6-15 min",IF(F199&lt;=25,"16-25 min","26+ min"))))</f>
        <v/>
      </c>
    </row>
    <row r="200" spans="8:11" x14ac:dyDescent="0.2">
      <c r="H200" s="3" t="str">
        <f>IF(F200="","",IF(F200&lt;=5,"On Time","Delayed"))</f>
        <v/>
      </c>
      <c r="I200" s="3" t="str">
        <f>IF(G200="","",IF(G200&lt;30,"Low",IF(G200&lt;70,"Medium","High")))</f>
        <v/>
      </c>
      <c r="J200" s="3" t="str">
        <f>IF(D200="","",IF(VALUE(LEFT(D200,2))&lt;6,"Night",IF(VALUE(LEFT(D200,2))&lt;12,"Morning",IF(VALUE(LEFT(D200,2))&lt;17,"Afternoon",IF(VALUE(LEFT(D200,2))&lt;21,"Evening","Night")))))</f>
        <v/>
      </c>
      <c r="K200" s="3" t="str">
        <f>IF(F200="","",IF(F200&lt;=5,"0-5 min",IF(F200&lt;=15,"6-15 min",IF(F200&lt;=25,"16-25 min","26+ min"))))</f>
        <v/>
      </c>
    </row>
    <row r="201" spans="8:11" x14ac:dyDescent="0.2">
      <c r="H201" s="3" t="str">
        <f>IF(F201="","",IF(F201&lt;=5,"On Time","Delayed"))</f>
        <v/>
      </c>
      <c r="I201" s="3" t="str">
        <f>IF(G201="","",IF(G201&lt;30,"Low",IF(G201&lt;70,"Medium","High")))</f>
        <v/>
      </c>
      <c r="J201" s="3" t="str">
        <f>IF(D201="","",IF(VALUE(LEFT(D201,2))&lt;6,"Night",IF(VALUE(LEFT(D201,2))&lt;12,"Morning",IF(VALUE(LEFT(D201,2))&lt;17,"Afternoon",IF(VALUE(LEFT(D201,2))&lt;21,"Evening","Night")))))</f>
        <v/>
      </c>
      <c r="K201" s="3" t="str">
        <f>IF(F201="","",IF(F201&lt;=5,"0-5 min",IF(F201&lt;=15,"6-15 min",IF(F201&lt;=25,"16-25 min","26+ min"))))</f>
        <v/>
      </c>
    </row>
    <row r="202" spans="8:11" x14ac:dyDescent="0.2">
      <c r="H202" s="3" t="str">
        <f>IF(F202="","",IF(F202&lt;=5,"On Time","Delayed"))</f>
        <v/>
      </c>
      <c r="I202" s="3" t="str">
        <f>IF(G202="","",IF(G202&lt;30,"Low",IF(G202&lt;70,"Medium","High")))</f>
        <v/>
      </c>
      <c r="J202" s="3" t="str">
        <f>IF(D202="","",IF(VALUE(LEFT(D202,2))&lt;6,"Night",IF(VALUE(LEFT(D202,2))&lt;12,"Morning",IF(VALUE(LEFT(D202,2))&lt;17,"Afternoon",IF(VALUE(LEFT(D202,2))&lt;21,"Evening","Night")))))</f>
        <v/>
      </c>
      <c r="K202" s="3" t="str">
        <f>IF(F202="","",IF(F202&lt;=5,"0-5 min",IF(F202&lt;=15,"6-15 min",IF(F202&lt;=25,"16-25 min","26+ min"))))</f>
        <v/>
      </c>
    </row>
    <row r="203" spans="8:11" x14ac:dyDescent="0.2">
      <c r="H203" s="3" t="str">
        <f>IF(F203="","",IF(F203&lt;=5,"On Time","Delayed"))</f>
        <v/>
      </c>
      <c r="I203" s="3" t="str">
        <f>IF(G203="","",IF(G203&lt;30,"Low",IF(G203&lt;70,"Medium","High")))</f>
        <v/>
      </c>
      <c r="J203" s="3" t="str">
        <f>IF(D203="","",IF(VALUE(LEFT(D203,2))&lt;6,"Night",IF(VALUE(LEFT(D203,2))&lt;12,"Morning",IF(VALUE(LEFT(D203,2))&lt;17,"Afternoon",IF(VALUE(LEFT(D203,2))&lt;21,"Evening","Night")))))</f>
        <v/>
      </c>
      <c r="K203" s="3" t="str">
        <f>IF(F203="","",IF(F203&lt;=5,"0-5 min",IF(F203&lt;=15,"6-15 min",IF(F203&lt;=25,"16-25 min","26+ min"))))</f>
        <v/>
      </c>
    </row>
    <row r="204" spans="8:11" x14ac:dyDescent="0.2">
      <c r="H204" s="3" t="str">
        <f>IF(F204="","",IF(F204&lt;=5,"On Time","Delayed"))</f>
        <v/>
      </c>
      <c r="I204" s="3" t="str">
        <f>IF(G204="","",IF(G204&lt;30,"Low",IF(G204&lt;70,"Medium","High")))</f>
        <v/>
      </c>
      <c r="J204" s="3" t="str">
        <f>IF(D204="","",IF(VALUE(LEFT(D204,2))&lt;6,"Night",IF(VALUE(LEFT(D204,2))&lt;12,"Morning",IF(VALUE(LEFT(D204,2))&lt;17,"Afternoon",IF(VALUE(LEFT(D204,2))&lt;21,"Evening","Night")))))</f>
        <v/>
      </c>
      <c r="K204" s="3" t="str">
        <f>IF(F204="","",IF(F204&lt;=5,"0-5 min",IF(F204&lt;=15,"6-15 min",IF(F204&lt;=25,"16-25 min","26+ min"))))</f>
        <v/>
      </c>
    </row>
    <row r="205" spans="8:11" x14ac:dyDescent="0.2">
      <c r="H205" s="3" t="str">
        <f>IF(F205="","",IF(F205&lt;=5,"On Time","Delayed"))</f>
        <v/>
      </c>
      <c r="I205" s="3" t="str">
        <f>IF(G205="","",IF(G205&lt;30,"Low",IF(G205&lt;70,"Medium","High")))</f>
        <v/>
      </c>
      <c r="J205" s="3" t="str">
        <f>IF(D205="","",IF(VALUE(LEFT(D205,2))&lt;6,"Night",IF(VALUE(LEFT(D205,2))&lt;12,"Morning",IF(VALUE(LEFT(D205,2))&lt;17,"Afternoon",IF(VALUE(LEFT(D205,2))&lt;21,"Evening","Night")))))</f>
        <v/>
      </c>
      <c r="K205" s="3" t="str">
        <f>IF(F205="","",IF(F205&lt;=5,"0-5 min",IF(F205&lt;=15,"6-15 min",IF(F205&lt;=25,"16-25 min","26+ min"))))</f>
        <v/>
      </c>
    </row>
    <row r="206" spans="8:11" x14ac:dyDescent="0.2">
      <c r="H206" s="3" t="str">
        <f>IF(F206="","",IF(F206&lt;=5,"On Time","Delayed"))</f>
        <v/>
      </c>
      <c r="I206" s="3" t="str">
        <f>IF(G206="","",IF(G206&lt;30,"Low",IF(G206&lt;70,"Medium","High")))</f>
        <v/>
      </c>
      <c r="J206" s="3" t="str">
        <f>IF(D206="","",IF(VALUE(LEFT(D206,2))&lt;6,"Night",IF(VALUE(LEFT(D206,2))&lt;12,"Morning",IF(VALUE(LEFT(D206,2))&lt;17,"Afternoon",IF(VALUE(LEFT(D206,2))&lt;21,"Evening","Night")))))</f>
        <v/>
      </c>
      <c r="K206" s="3" t="str">
        <f>IF(F206="","",IF(F206&lt;=5,"0-5 min",IF(F206&lt;=15,"6-15 min",IF(F206&lt;=25,"16-25 min","26+ min"))))</f>
        <v/>
      </c>
    </row>
    <row r="207" spans="8:11" x14ac:dyDescent="0.2">
      <c r="H207" s="3" t="str">
        <f>IF(F207="","",IF(F207&lt;=5,"On Time","Delayed"))</f>
        <v/>
      </c>
      <c r="I207" s="3" t="str">
        <f>IF(G207="","",IF(G207&lt;30,"Low",IF(G207&lt;70,"Medium","High")))</f>
        <v/>
      </c>
      <c r="J207" s="3" t="str">
        <f>IF(D207="","",IF(VALUE(LEFT(D207,2))&lt;6,"Night",IF(VALUE(LEFT(D207,2))&lt;12,"Morning",IF(VALUE(LEFT(D207,2))&lt;17,"Afternoon",IF(VALUE(LEFT(D207,2))&lt;21,"Evening","Night")))))</f>
        <v/>
      </c>
      <c r="K207" s="3" t="str">
        <f>IF(F207="","",IF(F207&lt;=5,"0-5 min",IF(F207&lt;=15,"6-15 min",IF(F207&lt;=25,"16-25 min","26+ min"))))</f>
        <v/>
      </c>
    </row>
    <row r="208" spans="8:11" x14ac:dyDescent="0.2">
      <c r="H208" s="3" t="str">
        <f>IF(F208="","",IF(F208&lt;=5,"On Time","Delayed"))</f>
        <v/>
      </c>
      <c r="I208" s="3" t="str">
        <f>IF(G208="","",IF(G208&lt;30,"Low",IF(G208&lt;70,"Medium","High")))</f>
        <v/>
      </c>
      <c r="J208" s="3" t="str">
        <f>IF(D208="","",IF(VALUE(LEFT(D208,2))&lt;6,"Night",IF(VALUE(LEFT(D208,2))&lt;12,"Morning",IF(VALUE(LEFT(D208,2))&lt;17,"Afternoon",IF(VALUE(LEFT(D208,2))&lt;21,"Evening","Night")))))</f>
        <v/>
      </c>
      <c r="K208" s="3" t="str">
        <f>IF(F208="","",IF(F208&lt;=5,"0-5 min",IF(F208&lt;=15,"6-15 min",IF(F208&lt;=25,"16-25 min","26+ min"))))</f>
        <v/>
      </c>
    </row>
    <row r="209" spans="8:11" x14ac:dyDescent="0.2">
      <c r="H209" s="3" t="str">
        <f>IF(F209="","",IF(F209&lt;=5,"On Time","Delayed"))</f>
        <v/>
      </c>
      <c r="I209" s="3" t="str">
        <f>IF(G209="","",IF(G209&lt;30,"Low",IF(G209&lt;70,"Medium","High")))</f>
        <v/>
      </c>
      <c r="J209" s="3" t="str">
        <f>IF(D209="","",IF(VALUE(LEFT(D209,2))&lt;6,"Night",IF(VALUE(LEFT(D209,2))&lt;12,"Morning",IF(VALUE(LEFT(D209,2))&lt;17,"Afternoon",IF(VALUE(LEFT(D209,2))&lt;21,"Evening","Night")))))</f>
        <v/>
      </c>
      <c r="K209" s="3" t="str">
        <f>IF(F209="","",IF(F209&lt;=5,"0-5 min",IF(F209&lt;=15,"6-15 min",IF(F209&lt;=25,"16-25 min","26+ min"))))</f>
        <v/>
      </c>
    </row>
    <row r="210" spans="8:11" x14ac:dyDescent="0.2">
      <c r="H210" s="3" t="str">
        <f>IF(F210="","",IF(F210&lt;=5,"On Time","Delayed"))</f>
        <v/>
      </c>
      <c r="I210" s="3" t="str">
        <f>IF(G210="","",IF(G210&lt;30,"Low",IF(G210&lt;70,"Medium","High")))</f>
        <v/>
      </c>
      <c r="J210" s="3" t="str">
        <f>IF(D210="","",IF(VALUE(LEFT(D210,2))&lt;6,"Night",IF(VALUE(LEFT(D210,2))&lt;12,"Morning",IF(VALUE(LEFT(D210,2))&lt;17,"Afternoon",IF(VALUE(LEFT(D210,2))&lt;21,"Evening","Night")))))</f>
        <v/>
      </c>
      <c r="K210" s="3" t="str">
        <f>IF(F210="","",IF(F210&lt;=5,"0-5 min",IF(F210&lt;=15,"6-15 min",IF(F210&lt;=25,"16-25 min","26+ min"))))</f>
        <v/>
      </c>
    </row>
    <row r="211" spans="8:11" x14ac:dyDescent="0.2">
      <c r="H211" s="3" t="str">
        <f>IF(F211="","",IF(F211&lt;=5,"On Time","Delayed"))</f>
        <v/>
      </c>
      <c r="I211" s="3" t="str">
        <f>IF(G211="","",IF(G211&lt;30,"Low",IF(G211&lt;70,"Medium","High")))</f>
        <v/>
      </c>
      <c r="J211" s="3" t="str">
        <f>IF(D211="","",IF(VALUE(LEFT(D211,2))&lt;6,"Night",IF(VALUE(LEFT(D211,2))&lt;12,"Morning",IF(VALUE(LEFT(D211,2))&lt;17,"Afternoon",IF(VALUE(LEFT(D211,2))&lt;21,"Evening","Night")))))</f>
        <v/>
      </c>
      <c r="K211" s="3" t="str">
        <f>IF(F211="","",IF(F211&lt;=5,"0-5 min",IF(F211&lt;=15,"6-15 min",IF(F211&lt;=25,"16-25 min","26+ min"))))</f>
        <v/>
      </c>
    </row>
    <row r="212" spans="8:11" x14ac:dyDescent="0.2">
      <c r="H212" s="3" t="str">
        <f>IF(F212="","",IF(F212&lt;=5,"On Time","Delayed"))</f>
        <v/>
      </c>
      <c r="I212" s="3" t="str">
        <f>IF(G212="","",IF(G212&lt;30,"Low",IF(G212&lt;70,"Medium","High")))</f>
        <v/>
      </c>
      <c r="J212" s="3" t="str">
        <f>IF(D212="","",IF(VALUE(LEFT(D212,2))&lt;6,"Night",IF(VALUE(LEFT(D212,2))&lt;12,"Morning",IF(VALUE(LEFT(D212,2))&lt;17,"Afternoon",IF(VALUE(LEFT(D212,2))&lt;21,"Evening","Night")))))</f>
        <v/>
      </c>
      <c r="K212" s="3" t="str">
        <f>IF(F212="","",IF(F212&lt;=5,"0-5 min",IF(F212&lt;=15,"6-15 min",IF(F212&lt;=25,"16-25 min","26+ min"))))</f>
        <v/>
      </c>
    </row>
    <row r="213" spans="8:11" x14ac:dyDescent="0.2">
      <c r="H213" s="3" t="str">
        <f>IF(F213="","",IF(F213&lt;=5,"On Time","Delayed"))</f>
        <v/>
      </c>
      <c r="I213" s="3" t="str">
        <f>IF(G213="","",IF(G213&lt;30,"Low",IF(G213&lt;70,"Medium","High")))</f>
        <v/>
      </c>
      <c r="J213" s="3" t="str">
        <f>IF(D213="","",IF(VALUE(LEFT(D213,2))&lt;6,"Night",IF(VALUE(LEFT(D213,2))&lt;12,"Morning",IF(VALUE(LEFT(D213,2))&lt;17,"Afternoon",IF(VALUE(LEFT(D213,2))&lt;21,"Evening","Night")))))</f>
        <v/>
      </c>
      <c r="K213" s="3" t="str">
        <f>IF(F213="","",IF(F213&lt;=5,"0-5 min",IF(F213&lt;=15,"6-15 min",IF(F213&lt;=25,"16-25 min","26+ min"))))</f>
        <v/>
      </c>
    </row>
    <row r="214" spans="8:11" x14ac:dyDescent="0.2">
      <c r="H214" s="3" t="str">
        <f>IF(F214="","",IF(F214&lt;=5,"On Time","Delayed"))</f>
        <v/>
      </c>
      <c r="I214" s="3" t="str">
        <f>IF(G214="","",IF(G214&lt;30,"Low",IF(G214&lt;70,"Medium","High")))</f>
        <v/>
      </c>
      <c r="J214" s="3" t="str">
        <f>IF(D214="","",IF(VALUE(LEFT(D214,2))&lt;6,"Night",IF(VALUE(LEFT(D214,2))&lt;12,"Morning",IF(VALUE(LEFT(D214,2))&lt;17,"Afternoon",IF(VALUE(LEFT(D214,2))&lt;21,"Evening","Night")))))</f>
        <v/>
      </c>
      <c r="K214" s="3" t="str">
        <f>IF(F214="","",IF(F214&lt;=5,"0-5 min",IF(F214&lt;=15,"6-15 min",IF(F214&lt;=25,"16-25 min","26+ min"))))</f>
        <v/>
      </c>
    </row>
    <row r="215" spans="8:11" x14ac:dyDescent="0.2">
      <c r="H215" s="3" t="str">
        <f>IF(F215="","",IF(F215&lt;=5,"On Time","Delayed"))</f>
        <v/>
      </c>
      <c r="I215" s="3" t="str">
        <f>IF(G215="","",IF(G215&lt;30,"Low",IF(G215&lt;70,"Medium","High")))</f>
        <v/>
      </c>
      <c r="J215" s="3" t="str">
        <f>IF(D215="","",IF(VALUE(LEFT(D215,2))&lt;6,"Night",IF(VALUE(LEFT(D215,2))&lt;12,"Morning",IF(VALUE(LEFT(D215,2))&lt;17,"Afternoon",IF(VALUE(LEFT(D215,2))&lt;21,"Evening","Night")))))</f>
        <v/>
      </c>
      <c r="K215" s="3" t="str">
        <f>IF(F215="","",IF(F215&lt;=5,"0-5 min",IF(F215&lt;=15,"6-15 min",IF(F215&lt;=25,"16-25 min","26+ min"))))</f>
        <v/>
      </c>
    </row>
    <row r="216" spans="8:11" x14ac:dyDescent="0.2">
      <c r="H216" s="3" t="str">
        <f>IF(F216="","",IF(F216&lt;=5,"On Time","Delayed"))</f>
        <v/>
      </c>
      <c r="I216" s="3" t="str">
        <f>IF(G216="","",IF(G216&lt;30,"Low",IF(G216&lt;70,"Medium","High")))</f>
        <v/>
      </c>
      <c r="J216" s="3" t="str">
        <f>IF(D216="","",IF(VALUE(LEFT(D216,2))&lt;6,"Night",IF(VALUE(LEFT(D216,2))&lt;12,"Morning",IF(VALUE(LEFT(D216,2))&lt;17,"Afternoon",IF(VALUE(LEFT(D216,2))&lt;21,"Evening","Night")))))</f>
        <v/>
      </c>
      <c r="K216" s="3" t="str">
        <f>IF(F216="","",IF(F216&lt;=5,"0-5 min",IF(F216&lt;=15,"6-15 min",IF(F216&lt;=25,"16-25 min","26+ min"))))</f>
        <v/>
      </c>
    </row>
    <row r="217" spans="8:11" x14ac:dyDescent="0.2">
      <c r="H217" s="3" t="str">
        <f>IF(F217="","",IF(F217&lt;=5,"On Time","Delayed"))</f>
        <v/>
      </c>
      <c r="I217" s="3" t="str">
        <f>IF(G217="","",IF(G217&lt;30,"Low",IF(G217&lt;70,"Medium","High")))</f>
        <v/>
      </c>
      <c r="J217" s="3" t="str">
        <f>IF(D217="","",IF(VALUE(LEFT(D217,2))&lt;6,"Night",IF(VALUE(LEFT(D217,2))&lt;12,"Morning",IF(VALUE(LEFT(D217,2))&lt;17,"Afternoon",IF(VALUE(LEFT(D217,2))&lt;21,"Evening","Night")))))</f>
        <v/>
      </c>
      <c r="K217" s="3" t="str">
        <f>IF(F217="","",IF(F217&lt;=5,"0-5 min",IF(F217&lt;=15,"6-15 min",IF(F217&lt;=25,"16-25 min","26+ min"))))</f>
        <v/>
      </c>
    </row>
    <row r="218" spans="8:11" x14ac:dyDescent="0.2">
      <c r="H218" s="3" t="str">
        <f>IF(F218="","",IF(F218&lt;=5,"On Time","Delayed"))</f>
        <v/>
      </c>
      <c r="I218" s="3" t="str">
        <f>IF(G218="","",IF(G218&lt;30,"Low",IF(G218&lt;70,"Medium","High")))</f>
        <v/>
      </c>
      <c r="J218" s="3" t="str">
        <f>IF(D218="","",IF(VALUE(LEFT(D218,2))&lt;6,"Night",IF(VALUE(LEFT(D218,2))&lt;12,"Morning",IF(VALUE(LEFT(D218,2))&lt;17,"Afternoon",IF(VALUE(LEFT(D218,2))&lt;21,"Evening","Night")))))</f>
        <v/>
      </c>
      <c r="K218" s="3" t="str">
        <f>IF(F218="","",IF(F218&lt;=5,"0-5 min",IF(F218&lt;=15,"6-15 min",IF(F218&lt;=25,"16-25 min","26+ min"))))</f>
        <v/>
      </c>
    </row>
    <row r="219" spans="8:11" x14ac:dyDescent="0.2">
      <c r="H219" s="3" t="str">
        <f>IF(F219="","",IF(F219&lt;=5,"On Time","Delayed"))</f>
        <v/>
      </c>
      <c r="I219" s="3" t="str">
        <f>IF(G219="","",IF(G219&lt;30,"Low",IF(G219&lt;70,"Medium","High")))</f>
        <v/>
      </c>
      <c r="J219" s="3" t="str">
        <f>IF(D219="","",IF(VALUE(LEFT(D219,2))&lt;6,"Night",IF(VALUE(LEFT(D219,2))&lt;12,"Morning",IF(VALUE(LEFT(D219,2))&lt;17,"Afternoon",IF(VALUE(LEFT(D219,2))&lt;21,"Evening","Night")))))</f>
        <v/>
      </c>
      <c r="K219" s="3" t="str">
        <f>IF(F219="","",IF(F219&lt;=5,"0-5 min",IF(F219&lt;=15,"6-15 min",IF(F219&lt;=25,"16-25 min","26+ min"))))</f>
        <v/>
      </c>
    </row>
    <row r="220" spans="8:11" x14ac:dyDescent="0.2">
      <c r="H220" s="3" t="str">
        <f>IF(F220="","",IF(F220&lt;=5,"On Time","Delayed"))</f>
        <v/>
      </c>
      <c r="I220" s="3" t="str">
        <f>IF(G220="","",IF(G220&lt;30,"Low",IF(G220&lt;70,"Medium","High")))</f>
        <v/>
      </c>
      <c r="J220" s="3" t="str">
        <f>IF(D220="","",IF(VALUE(LEFT(D220,2))&lt;6,"Night",IF(VALUE(LEFT(D220,2))&lt;12,"Morning",IF(VALUE(LEFT(D220,2))&lt;17,"Afternoon",IF(VALUE(LEFT(D220,2))&lt;21,"Evening","Night")))))</f>
        <v/>
      </c>
      <c r="K220" s="3" t="str">
        <f>IF(F220="","",IF(F220&lt;=5,"0-5 min",IF(F220&lt;=15,"6-15 min",IF(F220&lt;=25,"16-25 min","26+ min"))))</f>
        <v/>
      </c>
    </row>
    <row r="221" spans="8:11" x14ac:dyDescent="0.2">
      <c r="H221" s="3" t="str">
        <f>IF(F221="","",IF(F221&lt;=5,"On Time","Delayed"))</f>
        <v/>
      </c>
      <c r="I221" s="3" t="str">
        <f>IF(G221="","",IF(G221&lt;30,"Low",IF(G221&lt;70,"Medium","High")))</f>
        <v/>
      </c>
      <c r="J221" s="3" t="str">
        <f>IF(D221="","",IF(VALUE(LEFT(D221,2))&lt;6,"Night",IF(VALUE(LEFT(D221,2))&lt;12,"Morning",IF(VALUE(LEFT(D221,2))&lt;17,"Afternoon",IF(VALUE(LEFT(D221,2))&lt;21,"Evening","Night")))))</f>
        <v/>
      </c>
      <c r="K221" s="3" t="str">
        <f>IF(F221="","",IF(F221&lt;=5,"0-5 min",IF(F221&lt;=15,"6-15 min",IF(F221&lt;=25,"16-25 min","26+ min"))))</f>
        <v/>
      </c>
    </row>
    <row r="222" spans="8:11" x14ac:dyDescent="0.2">
      <c r="H222" s="3" t="str">
        <f>IF(F222="","",IF(F222&lt;=5,"On Time","Delayed"))</f>
        <v/>
      </c>
      <c r="I222" s="3" t="str">
        <f>IF(G222="","",IF(G222&lt;30,"Low",IF(G222&lt;70,"Medium","High")))</f>
        <v/>
      </c>
      <c r="J222" s="3" t="str">
        <f>IF(D222="","",IF(VALUE(LEFT(D222,2))&lt;6,"Night",IF(VALUE(LEFT(D222,2))&lt;12,"Morning",IF(VALUE(LEFT(D222,2))&lt;17,"Afternoon",IF(VALUE(LEFT(D222,2))&lt;21,"Evening","Night")))))</f>
        <v/>
      </c>
      <c r="K222" s="3" t="str">
        <f>IF(F222="","",IF(F222&lt;=5,"0-5 min",IF(F222&lt;=15,"6-15 min",IF(F222&lt;=25,"16-25 min","26+ min"))))</f>
        <v/>
      </c>
    </row>
    <row r="223" spans="8:11" x14ac:dyDescent="0.2">
      <c r="H223" s="3" t="str">
        <f>IF(F223="","",IF(F223&lt;=5,"On Time","Delayed"))</f>
        <v/>
      </c>
      <c r="I223" s="3" t="str">
        <f>IF(G223="","",IF(G223&lt;30,"Low",IF(G223&lt;70,"Medium","High")))</f>
        <v/>
      </c>
      <c r="J223" s="3" t="str">
        <f>IF(D223="","",IF(VALUE(LEFT(D223,2))&lt;6,"Night",IF(VALUE(LEFT(D223,2))&lt;12,"Morning",IF(VALUE(LEFT(D223,2))&lt;17,"Afternoon",IF(VALUE(LEFT(D223,2))&lt;21,"Evening","Night")))))</f>
        <v/>
      </c>
      <c r="K223" s="3" t="str">
        <f>IF(F223="","",IF(F223&lt;=5,"0-5 min",IF(F223&lt;=15,"6-15 min",IF(F223&lt;=25,"16-25 min","26+ min"))))</f>
        <v/>
      </c>
    </row>
    <row r="224" spans="8:11" x14ac:dyDescent="0.2">
      <c r="H224" s="3" t="str">
        <f>IF(F224="","",IF(F224&lt;=5,"On Time","Delayed"))</f>
        <v/>
      </c>
      <c r="I224" s="3" t="str">
        <f>IF(G224="","",IF(G224&lt;30,"Low",IF(G224&lt;70,"Medium","High")))</f>
        <v/>
      </c>
      <c r="J224" s="3" t="str">
        <f>IF(D224="","",IF(VALUE(LEFT(D224,2))&lt;6,"Night",IF(VALUE(LEFT(D224,2))&lt;12,"Morning",IF(VALUE(LEFT(D224,2))&lt;17,"Afternoon",IF(VALUE(LEFT(D224,2))&lt;21,"Evening","Night")))))</f>
        <v/>
      </c>
      <c r="K224" s="3" t="str">
        <f>IF(F224="","",IF(F224&lt;=5,"0-5 min",IF(F224&lt;=15,"6-15 min",IF(F224&lt;=25,"16-25 min","26+ min"))))</f>
        <v/>
      </c>
    </row>
    <row r="225" spans="8:11" x14ac:dyDescent="0.2">
      <c r="H225" s="3" t="str">
        <f>IF(F225="","",IF(F225&lt;=5,"On Time","Delayed"))</f>
        <v/>
      </c>
      <c r="I225" s="3" t="str">
        <f>IF(G225="","",IF(G225&lt;30,"Low",IF(G225&lt;70,"Medium","High")))</f>
        <v/>
      </c>
      <c r="J225" s="3" t="str">
        <f>IF(D225="","",IF(VALUE(LEFT(D225,2))&lt;6,"Night",IF(VALUE(LEFT(D225,2))&lt;12,"Morning",IF(VALUE(LEFT(D225,2))&lt;17,"Afternoon",IF(VALUE(LEFT(D225,2))&lt;21,"Evening","Night")))))</f>
        <v/>
      </c>
      <c r="K225" s="3" t="str">
        <f>IF(F225="","",IF(F225&lt;=5,"0-5 min",IF(F225&lt;=15,"6-15 min",IF(F225&lt;=25,"16-25 min","26+ min"))))</f>
        <v/>
      </c>
    </row>
    <row r="226" spans="8:11" x14ac:dyDescent="0.2">
      <c r="H226" s="3" t="str">
        <f>IF(F226="","",IF(F226&lt;=5,"On Time","Delayed"))</f>
        <v/>
      </c>
      <c r="I226" s="3" t="str">
        <f>IF(G226="","",IF(G226&lt;30,"Low",IF(G226&lt;70,"Medium","High")))</f>
        <v/>
      </c>
      <c r="J226" s="3" t="str">
        <f>IF(D226="","",IF(VALUE(LEFT(D226,2))&lt;6,"Night",IF(VALUE(LEFT(D226,2))&lt;12,"Morning",IF(VALUE(LEFT(D226,2))&lt;17,"Afternoon",IF(VALUE(LEFT(D226,2))&lt;21,"Evening","Night")))))</f>
        <v/>
      </c>
      <c r="K226" s="3" t="str">
        <f>IF(F226="","",IF(F226&lt;=5,"0-5 min",IF(F226&lt;=15,"6-15 min",IF(F226&lt;=25,"16-25 min","26+ min"))))</f>
        <v/>
      </c>
    </row>
    <row r="227" spans="8:11" x14ac:dyDescent="0.2">
      <c r="H227" s="3" t="str">
        <f>IF(F227="","",IF(F227&lt;=5,"On Time","Delayed"))</f>
        <v/>
      </c>
      <c r="I227" s="3" t="str">
        <f>IF(G227="","",IF(G227&lt;30,"Low",IF(G227&lt;70,"Medium","High")))</f>
        <v/>
      </c>
      <c r="J227" s="3" t="str">
        <f>IF(D227="","",IF(VALUE(LEFT(D227,2))&lt;6,"Night",IF(VALUE(LEFT(D227,2))&lt;12,"Morning",IF(VALUE(LEFT(D227,2))&lt;17,"Afternoon",IF(VALUE(LEFT(D227,2))&lt;21,"Evening","Night")))))</f>
        <v/>
      </c>
      <c r="K227" s="3" t="str">
        <f>IF(F227="","",IF(F227&lt;=5,"0-5 min",IF(F227&lt;=15,"6-15 min",IF(F227&lt;=25,"16-25 min","26+ min"))))</f>
        <v/>
      </c>
    </row>
    <row r="228" spans="8:11" x14ac:dyDescent="0.2">
      <c r="H228" s="3" t="str">
        <f>IF(F228="","",IF(F228&lt;=5,"On Time","Delayed"))</f>
        <v/>
      </c>
      <c r="I228" s="3" t="str">
        <f>IF(G228="","",IF(G228&lt;30,"Low",IF(G228&lt;70,"Medium","High")))</f>
        <v/>
      </c>
      <c r="J228" s="3" t="str">
        <f>IF(D228="","",IF(VALUE(LEFT(D228,2))&lt;6,"Night",IF(VALUE(LEFT(D228,2))&lt;12,"Morning",IF(VALUE(LEFT(D228,2))&lt;17,"Afternoon",IF(VALUE(LEFT(D228,2))&lt;21,"Evening","Night")))))</f>
        <v/>
      </c>
      <c r="K228" s="3" t="str">
        <f>IF(F228="","",IF(F228&lt;=5,"0-5 min",IF(F228&lt;=15,"6-15 min",IF(F228&lt;=25,"16-25 min","26+ min"))))</f>
        <v/>
      </c>
    </row>
    <row r="229" spans="8:11" x14ac:dyDescent="0.2">
      <c r="H229" s="3" t="str">
        <f>IF(F229="","",IF(F229&lt;=5,"On Time","Delayed"))</f>
        <v/>
      </c>
      <c r="I229" s="3" t="str">
        <f>IF(G229="","",IF(G229&lt;30,"Low",IF(G229&lt;70,"Medium","High")))</f>
        <v/>
      </c>
      <c r="J229" s="3" t="str">
        <f>IF(D229="","",IF(VALUE(LEFT(D229,2))&lt;6,"Night",IF(VALUE(LEFT(D229,2))&lt;12,"Morning",IF(VALUE(LEFT(D229,2))&lt;17,"Afternoon",IF(VALUE(LEFT(D229,2))&lt;21,"Evening","Night")))))</f>
        <v/>
      </c>
      <c r="K229" s="3" t="str">
        <f>IF(F229="","",IF(F229&lt;=5,"0-5 min",IF(F229&lt;=15,"6-15 min",IF(F229&lt;=25,"16-25 min","26+ min"))))</f>
        <v/>
      </c>
    </row>
    <row r="230" spans="8:11" x14ac:dyDescent="0.2">
      <c r="H230" s="3" t="str">
        <f>IF(F230="","",IF(F230&lt;=5,"On Time","Delayed"))</f>
        <v/>
      </c>
      <c r="I230" s="3" t="str">
        <f>IF(G230="","",IF(G230&lt;30,"Low",IF(G230&lt;70,"Medium","High")))</f>
        <v/>
      </c>
      <c r="J230" s="3" t="str">
        <f>IF(D230="","",IF(VALUE(LEFT(D230,2))&lt;6,"Night",IF(VALUE(LEFT(D230,2))&lt;12,"Morning",IF(VALUE(LEFT(D230,2))&lt;17,"Afternoon",IF(VALUE(LEFT(D230,2))&lt;21,"Evening","Night")))))</f>
        <v/>
      </c>
      <c r="K230" s="3" t="str">
        <f>IF(F230="","",IF(F230&lt;=5,"0-5 min",IF(F230&lt;=15,"6-15 min",IF(F230&lt;=25,"16-25 min","26+ min"))))</f>
        <v/>
      </c>
    </row>
    <row r="231" spans="8:11" x14ac:dyDescent="0.2">
      <c r="H231" s="3" t="str">
        <f>IF(F231="","",IF(F231&lt;=5,"On Time","Delayed"))</f>
        <v/>
      </c>
      <c r="I231" s="3" t="str">
        <f>IF(G231="","",IF(G231&lt;30,"Low",IF(G231&lt;70,"Medium","High")))</f>
        <v/>
      </c>
      <c r="J231" s="3" t="str">
        <f>IF(D231="","",IF(VALUE(LEFT(D231,2))&lt;6,"Night",IF(VALUE(LEFT(D231,2))&lt;12,"Morning",IF(VALUE(LEFT(D231,2))&lt;17,"Afternoon",IF(VALUE(LEFT(D231,2))&lt;21,"Evening","Night")))))</f>
        <v/>
      </c>
      <c r="K231" s="3" t="str">
        <f>IF(F231="","",IF(F231&lt;=5,"0-5 min",IF(F231&lt;=15,"6-15 min",IF(F231&lt;=25,"16-25 min","26+ min"))))</f>
        <v/>
      </c>
    </row>
    <row r="232" spans="8:11" x14ac:dyDescent="0.2">
      <c r="H232" s="3" t="str">
        <f>IF(F232="","",IF(F232&lt;=5,"On Time","Delayed"))</f>
        <v/>
      </c>
      <c r="I232" s="3" t="str">
        <f>IF(G232="","",IF(G232&lt;30,"Low",IF(G232&lt;70,"Medium","High")))</f>
        <v/>
      </c>
      <c r="J232" s="3" t="str">
        <f>IF(D232="","",IF(VALUE(LEFT(D232,2))&lt;6,"Night",IF(VALUE(LEFT(D232,2))&lt;12,"Morning",IF(VALUE(LEFT(D232,2))&lt;17,"Afternoon",IF(VALUE(LEFT(D232,2))&lt;21,"Evening","Night")))))</f>
        <v/>
      </c>
      <c r="K232" s="3" t="str">
        <f>IF(F232="","",IF(F232&lt;=5,"0-5 min",IF(F232&lt;=15,"6-15 min",IF(F232&lt;=25,"16-25 min","26+ min"))))</f>
        <v/>
      </c>
    </row>
    <row r="233" spans="8:11" x14ac:dyDescent="0.2">
      <c r="H233" s="3" t="str">
        <f>IF(F233="","",IF(F233&lt;=5,"On Time","Delayed"))</f>
        <v/>
      </c>
      <c r="I233" s="3" t="str">
        <f>IF(G233="","",IF(G233&lt;30,"Low",IF(G233&lt;70,"Medium","High")))</f>
        <v/>
      </c>
      <c r="J233" s="3" t="str">
        <f>IF(D233="","",IF(VALUE(LEFT(D233,2))&lt;6,"Night",IF(VALUE(LEFT(D233,2))&lt;12,"Morning",IF(VALUE(LEFT(D233,2))&lt;17,"Afternoon",IF(VALUE(LEFT(D233,2))&lt;21,"Evening","Night")))))</f>
        <v/>
      </c>
      <c r="K233" s="3" t="str">
        <f>IF(F233="","",IF(F233&lt;=5,"0-5 min",IF(F233&lt;=15,"6-15 min",IF(F233&lt;=25,"16-25 min","26+ min"))))</f>
        <v/>
      </c>
    </row>
    <row r="234" spans="8:11" x14ac:dyDescent="0.2">
      <c r="H234" s="3" t="str">
        <f>IF(F234="","",IF(F234&lt;=5,"On Time","Delayed"))</f>
        <v/>
      </c>
      <c r="I234" s="3" t="str">
        <f>IF(G234="","",IF(G234&lt;30,"Low",IF(G234&lt;70,"Medium","High")))</f>
        <v/>
      </c>
      <c r="J234" s="3" t="str">
        <f>IF(D234="","",IF(VALUE(LEFT(D234,2))&lt;6,"Night",IF(VALUE(LEFT(D234,2))&lt;12,"Morning",IF(VALUE(LEFT(D234,2))&lt;17,"Afternoon",IF(VALUE(LEFT(D234,2))&lt;21,"Evening","Night")))))</f>
        <v/>
      </c>
      <c r="K234" s="3" t="str">
        <f>IF(F234="","",IF(F234&lt;=5,"0-5 min",IF(F234&lt;=15,"6-15 min",IF(F234&lt;=25,"16-25 min","26+ min"))))</f>
        <v/>
      </c>
    </row>
    <row r="235" spans="8:11" x14ac:dyDescent="0.2">
      <c r="H235" s="3" t="str">
        <f>IF(F235="","",IF(F235&lt;=5,"On Time","Delayed"))</f>
        <v/>
      </c>
      <c r="I235" s="3" t="str">
        <f>IF(G235="","",IF(G235&lt;30,"Low",IF(G235&lt;70,"Medium","High")))</f>
        <v/>
      </c>
      <c r="J235" s="3" t="str">
        <f>IF(D235="","",IF(VALUE(LEFT(D235,2))&lt;6,"Night",IF(VALUE(LEFT(D235,2))&lt;12,"Morning",IF(VALUE(LEFT(D235,2))&lt;17,"Afternoon",IF(VALUE(LEFT(D235,2))&lt;21,"Evening","Night")))))</f>
        <v/>
      </c>
      <c r="K235" s="3" t="str">
        <f>IF(F235="","",IF(F235&lt;=5,"0-5 min",IF(F235&lt;=15,"6-15 min",IF(F235&lt;=25,"16-25 min","26+ min"))))</f>
        <v/>
      </c>
    </row>
    <row r="236" spans="8:11" x14ac:dyDescent="0.2">
      <c r="H236" s="3" t="str">
        <f>IF(F236="","",IF(F236&lt;=5,"On Time","Delayed"))</f>
        <v/>
      </c>
      <c r="I236" s="3" t="str">
        <f>IF(G236="","",IF(G236&lt;30,"Low",IF(G236&lt;70,"Medium","High")))</f>
        <v/>
      </c>
      <c r="J236" s="3" t="str">
        <f>IF(D236="","",IF(VALUE(LEFT(D236,2))&lt;6,"Night",IF(VALUE(LEFT(D236,2))&lt;12,"Morning",IF(VALUE(LEFT(D236,2))&lt;17,"Afternoon",IF(VALUE(LEFT(D236,2))&lt;21,"Evening","Night")))))</f>
        <v/>
      </c>
      <c r="K236" s="3" t="str">
        <f>IF(F236="","",IF(F236&lt;=5,"0-5 min",IF(F236&lt;=15,"6-15 min",IF(F236&lt;=25,"16-25 min","26+ min"))))</f>
        <v/>
      </c>
    </row>
    <row r="237" spans="8:11" x14ac:dyDescent="0.2">
      <c r="H237" s="3" t="str">
        <f>IF(F237="","",IF(F237&lt;=5,"On Time","Delayed"))</f>
        <v/>
      </c>
      <c r="I237" s="3" t="str">
        <f>IF(G237="","",IF(G237&lt;30,"Low",IF(G237&lt;70,"Medium","High")))</f>
        <v/>
      </c>
      <c r="J237" s="3" t="str">
        <f>IF(D237="","",IF(VALUE(LEFT(D237,2))&lt;6,"Night",IF(VALUE(LEFT(D237,2))&lt;12,"Morning",IF(VALUE(LEFT(D237,2))&lt;17,"Afternoon",IF(VALUE(LEFT(D237,2))&lt;21,"Evening","Night")))))</f>
        <v/>
      </c>
      <c r="K237" s="3" t="str">
        <f>IF(F237="","",IF(F237&lt;=5,"0-5 min",IF(F237&lt;=15,"6-15 min",IF(F237&lt;=25,"16-25 min","26+ min"))))</f>
        <v/>
      </c>
    </row>
    <row r="238" spans="8:11" x14ac:dyDescent="0.2">
      <c r="H238" s="3" t="str">
        <f>IF(F238="","",IF(F238&lt;=5,"On Time","Delayed"))</f>
        <v/>
      </c>
      <c r="I238" s="3" t="str">
        <f>IF(G238="","",IF(G238&lt;30,"Low",IF(G238&lt;70,"Medium","High")))</f>
        <v/>
      </c>
      <c r="J238" s="3" t="str">
        <f>IF(D238="","",IF(VALUE(LEFT(D238,2))&lt;6,"Night",IF(VALUE(LEFT(D238,2))&lt;12,"Morning",IF(VALUE(LEFT(D238,2))&lt;17,"Afternoon",IF(VALUE(LEFT(D238,2))&lt;21,"Evening","Night")))))</f>
        <v/>
      </c>
      <c r="K238" s="3" t="str">
        <f>IF(F238="","",IF(F238&lt;=5,"0-5 min",IF(F238&lt;=15,"6-15 min",IF(F238&lt;=25,"16-25 min","26+ min"))))</f>
        <v/>
      </c>
    </row>
    <row r="239" spans="8:11" x14ac:dyDescent="0.2">
      <c r="H239" s="3" t="str">
        <f>IF(F239="","",IF(F239&lt;=5,"On Time","Delayed"))</f>
        <v/>
      </c>
      <c r="I239" s="3" t="str">
        <f>IF(G239="","",IF(G239&lt;30,"Low",IF(G239&lt;70,"Medium","High")))</f>
        <v/>
      </c>
      <c r="J239" s="3" t="str">
        <f>IF(D239="","",IF(VALUE(LEFT(D239,2))&lt;6,"Night",IF(VALUE(LEFT(D239,2))&lt;12,"Morning",IF(VALUE(LEFT(D239,2))&lt;17,"Afternoon",IF(VALUE(LEFT(D239,2))&lt;21,"Evening","Night")))))</f>
        <v/>
      </c>
      <c r="K239" s="3" t="str">
        <f>IF(F239="","",IF(F239&lt;=5,"0-5 min",IF(F239&lt;=15,"6-15 min",IF(F239&lt;=25,"16-25 min","26+ min"))))</f>
        <v/>
      </c>
    </row>
    <row r="240" spans="8:11" x14ac:dyDescent="0.2">
      <c r="H240" s="3" t="str">
        <f>IF(F240="","",IF(F240&lt;=5,"On Time","Delayed"))</f>
        <v/>
      </c>
      <c r="I240" s="3" t="str">
        <f>IF(G240="","",IF(G240&lt;30,"Low",IF(G240&lt;70,"Medium","High")))</f>
        <v/>
      </c>
      <c r="J240" s="3" t="str">
        <f>IF(D240="","",IF(VALUE(LEFT(D240,2))&lt;6,"Night",IF(VALUE(LEFT(D240,2))&lt;12,"Morning",IF(VALUE(LEFT(D240,2))&lt;17,"Afternoon",IF(VALUE(LEFT(D240,2))&lt;21,"Evening","Night")))))</f>
        <v/>
      </c>
      <c r="K240" s="3" t="str">
        <f>IF(F240="","",IF(F240&lt;=5,"0-5 min",IF(F240&lt;=15,"6-15 min",IF(F240&lt;=25,"16-25 min","26+ min"))))</f>
        <v/>
      </c>
    </row>
    <row r="241" spans="8:11" x14ac:dyDescent="0.2">
      <c r="H241" s="3" t="str">
        <f>IF(F241="","",IF(F241&lt;=5,"On Time","Delayed"))</f>
        <v/>
      </c>
      <c r="I241" s="3" t="str">
        <f>IF(G241="","",IF(G241&lt;30,"Low",IF(G241&lt;70,"Medium","High")))</f>
        <v/>
      </c>
      <c r="J241" s="3" t="str">
        <f>IF(D241="","",IF(VALUE(LEFT(D241,2))&lt;6,"Night",IF(VALUE(LEFT(D241,2))&lt;12,"Morning",IF(VALUE(LEFT(D241,2))&lt;17,"Afternoon",IF(VALUE(LEFT(D241,2))&lt;21,"Evening","Night")))))</f>
        <v/>
      </c>
      <c r="K241" s="3" t="str">
        <f>IF(F241="","",IF(F241&lt;=5,"0-5 min",IF(F241&lt;=15,"6-15 min",IF(F241&lt;=25,"16-25 min","26+ min"))))</f>
        <v/>
      </c>
    </row>
    <row r="242" spans="8:11" x14ac:dyDescent="0.2">
      <c r="H242" s="3" t="str">
        <f>IF(F242="","",IF(F242&lt;=5,"On Time","Delayed"))</f>
        <v/>
      </c>
      <c r="I242" s="3" t="str">
        <f>IF(G242="","",IF(G242&lt;30,"Low",IF(G242&lt;70,"Medium","High")))</f>
        <v/>
      </c>
      <c r="J242" s="3" t="str">
        <f>IF(D242="","",IF(VALUE(LEFT(D242,2))&lt;6,"Night",IF(VALUE(LEFT(D242,2))&lt;12,"Morning",IF(VALUE(LEFT(D242,2))&lt;17,"Afternoon",IF(VALUE(LEFT(D242,2))&lt;21,"Evening","Night")))))</f>
        <v/>
      </c>
      <c r="K242" s="3" t="str">
        <f>IF(F242="","",IF(F242&lt;=5,"0-5 min",IF(F242&lt;=15,"6-15 min",IF(F242&lt;=25,"16-25 min","26+ min"))))</f>
        <v/>
      </c>
    </row>
    <row r="243" spans="8:11" x14ac:dyDescent="0.2">
      <c r="H243" s="3" t="str">
        <f>IF(F243="","",IF(F243&lt;=5,"On Time","Delayed"))</f>
        <v/>
      </c>
      <c r="I243" s="3" t="str">
        <f>IF(G243="","",IF(G243&lt;30,"Low",IF(G243&lt;70,"Medium","High")))</f>
        <v/>
      </c>
      <c r="J243" s="3" t="str">
        <f>IF(D243="","",IF(VALUE(LEFT(D243,2))&lt;6,"Night",IF(VALUE(LEFT(D243,2))&lt;12,"Morning",IF(VALUE(LEFT(D243,2))&lt;17,"Afternoon",IF(VALUE(LEFT(D243,2))&lt;21,"Evening","Night")))))</f>
        <v/>
      </c>
      <c r="K243" s="3" t="str">
        <f>IF(F243="","",IF(F243&lt;=5,"0-5 min",IF(F243&lt;=15,"6-15 min",IF(F243&lt;=25,"16-25 min","26+ min"))))</f>
        <v/>
      </c>
    </row>
    <row r="244" spans="8:11" x14ac:dyDescent="0.2">
      <c r="H244" s="3" t="str">
        <f>IF(F244="","",IF(F244&lt;=5,"On Time","Delayed"))</f>
        <v/>
      </c>
      <c r="I244" s="3" t="str">
        <f>IF(G244="","",IF(G244&lt;30,"Low",IF(G244&lt;70,"Medium","High")))</f>
        <v/>
      </c>
      <c r="J244" s="3" t="str">
        <f>IF(D244="","",IF(VALUE(LEFT(D244,2))&lt;6,"Night",IF(VALUE(LEFT(D244,2))&lt;12,"Morning",IF(VALUE(LEFT(D244,2))&lt;17,"Afternoon",IF(VALUE(LEFT(D244,2))&lt;21,"Evening","Night")))))</f>
        <v/>
      </c>
      <c r="K244" s="3" t="str">
        <f>IF(F244="","",IF(F244&lt;=5,"0-5 min",IF(F244&lt;=15,"6-15 min",IF(F244&lt;=25,"16-25 min","26+ min"))))</f>
        <v/>
      </c>
    </row>
    <row r="245" spans="8:11" x14ac:dyDescent="0.2">
      <c r="H245" s="3" t="str">
        <f>IF(F245="","",IF(F245&lt;=5,"On Time","Delayed"))</f>
        <v/>
      </c>
      <c r="I245" s="3" t="str">
        <f>IF(G245="","",IF(G245&lt;30,"Low",IF(G245&lt;70,"Medium","High")))</f>
        <v/>
      </c>
      <c r="J245" s="3" t="str">
        <f>IF(D245="","",IF(VALUE(LEFT(D245,2))&lt;6,"Night",IF(VALUE(LEFT(D245,2))&lt;12,"Morning",IF(VALUE(LEFT(D245,2))&lt;17,"Afternoon",IF(VALUE(LEFT(D245,2))&lt;21,"Evening","Night")))))</f>
        <v/>
      </c>
      <c r="K245" s="3" t="str">
        <f>IF(F245="","",IF(F245&lt;=5,"0-5 min",IF(F245&lt;=15,"6-15 min",IF(F245&lt;=25,"16-25 min","26+ min"))))</f>
        <v/>
      </c>
    </row>
    <row r="246" spans="8:11" x14ac:dyDescent="0.2">
      <c r="H246" s="3" t="str">
        <f>IF(F246="","",IF(F246&lt;=5,"On Time","Delayed"))</f>
        <v/>
      </c>
      <c r="I246" s="3" t="str">
        <f>IF(G246="","",IF(G246&lt;30,"Low",IF(G246&lt;70,"Medium","High")))</f>
        <v/>
      </c>
      <c r="J246" s="3" t="str">
        <f>IF(D246="","",IF(VALUE(LEFT(D246,2))&lt;6,"Night",IF(VALUE(LEFT(D246,2))&lt;12,"Morning",IF(VALUE(LEFT(D246,2))&lt;17,"Afternoon",IF(VALUE(LEFT(D246,2))&lt;21,"Evening","Night")))))</f>
        <v/>
      </c>
      <c r="K246" s="3" t="str">
        <f>IF(F246="","",IF(F246&lt;=5,"0-5 min",IF(F246&lt;=15,"6-15 min",IF(F246&lt;=25,"16-25 min","26+ min"))))</f>
        <v/>
      </c>
    </row>
    <row r="247" spans="8:11" x14ac:dyDescent="0.2">
      <c r="H247" s="3" t="str">
        <f>IF(F247="","",IF(F247&lt;=5,"On Time","Delayed"))</f>
        <v/>
      </c>
      <c r="I247" s="3" t="str">
        <f>IF(G247="","",IF(G247&lt;30,"Low",IF(G247&lt;70,"Medium","High")))</f>
        <v/>
      </c>
      <c r="J247" s="3" t="str">
        <f>IF(D247="","",IF(VALUE(LEFT(D247,2))&lt;6,"Night",IF(VALUE(LEFT(D247,2))&lt;12,"Morning",IF(VALUE(LEFT(D247,2))&lt;17,"Afternoon",IF(VALUE(LEFT(D247,2))&lt;21,"Evening","Night")))))</f>
        <v/>
      </c>
      <c r="K247" s="3" t="str">
        <f>IF(F247="","",IF(F247&lt;=5,"0-5 min",IF(F247&lt;=15,"6-15 min",IF(F247&lt;=25,"16-25 min","26+ min"))))</f>
        <v/>
      </c>
    </row>
    <row r="248" spans="8:11" x14ac:dyDescent="0.2">
      <c r="H248" s="3" t="str">
        <f>IF(F248="","",IF(F248&lt;=5,"On Time","Delayed"))</f>
        <v/>
      </c>
      <c r="I248" s="3" t="str">
        <f>IF(G248="","",IF(G248&lt;30,"Low",IF(G248&lt;70,"Medium","High")))</f>
        <v/>
      </c>
      <c r="J248" s="3" t="str">
        <f>IF(D248="","",IF(VALUE(LEFT(D248,2))&lt;6,"Night",IF(VALUE(LEFT(D248,2))&lt;12,"Morning",IF(VALUE(LEFT(D248,2))&lt;17,"Afternoon",IF(VALUE(LEFT(D248,2))&lt;21,"Evening","Night")))))</f>
        <v/>
      </c>
      <c r="K248" s="3" t="str">
        <f>IF(F248="","",IF(F248&lt;=5,"0-5 min",IF(F248&lt;=15,"6-15 min",IF(F248&lt;=25,"16-25 min","26+ min"))))</f>
        <v/>
      </c>
    </row>
    <row r="249" spans="8:11" x14ac:dyDescent="0.2">
      <c r="H249" s="3" t="str">
        <f>IF(F249="","",IF(F249&lt;=5,"On Time","Delayed"))</f>
        <v/>
      </c>
      <c r="I249" s="3" t="str">
        <f>IF(G249="","",IF(G249&lt;30,"Low",IF(G249&lt;70,"Medium","High")))</f>
        <v/>
      </c>
      <c r="J249" s="3" t="str">
        <f>IF(D249="","",IF(VALUE(LEFT(D249,2))&lt;6,"Night",IF(VALUE(LEFT(D249,2))&lt;12,"Morning",IF(VALUE(LEFT(D249,2))&lt;17,"Afternoon",IF(VALUE(LEFT(D249,2))&lt;21,"Evening","Night")))))</f>
        <v/>
      </c>
      <c r="K249" s="3" t="str">
        <f>IF(F249="","",IF(F249&lt;=5,"0-5 min",IF(F249&lt;=15,"6-15 min",IF(F249&lt;=25,"16-25 min","26+ min"))))</f>
        <v/>
      </c>
    </row>
    <row r="250" spans="8:11" x14ac:dyDescent="0.2">
      <c r="H250" s="3" t="str">
        <f>IF(F250="","",IF(F250&lt;=5,"On Time","Delayed"))</f>
        <v/>
      </c>
      <c r="I250" s="3" t="str">
        <f>IF(G250="","",IF(G250&lt;30,"Low",IF(G250&lt;70,"Medium","High")))</f>
        <v/>
      </c>
      <c r="J250" s="3" t="str">
        <f>IF(D250="","",IF(VALUE(LEFT(D250,2))&lt;6,"Night",IF(VALUE(LEFT(D250,2))&lt;12,"Morning",IF(VALUE(LEFT(D250,2))&lt;17,"Afternoon",IF(VALUE(LEFT(D250,2))&lt;21,"Evening","Night")))))</f>
        <v/>
      </c>
      <c r="K250" s="3" t="str">
        <f>IF(F250="","",IF(F250&lt;=5,"0-5 min",IF(F250&lt;=15,"6-15 min",IF(F250&lt;=25,"16-25 min","26+ min"))))</f>
        <v/>
      </c>
    </row>
    <row r="251" spans="8:11" x14ac:dyDescent="0.2">
      <c r="H251" s="3" t="str">
        <f>IF(F251="","",IF(F251&lt;=5,"On Time","Delayed"))</f>
        <v/>
      </c>
      <c r="I251" s="3" t="str">
        <f>IF(G251="","",IF(G251&lt;30,"Low",IF(G251&lt;70,"Medium","High")))</f>
        <v/>
      </c>
      <c r="J251" s="3" t="str">
        <f>IF(D251="","",IF(VALUE(LEFT(D251,2))&lt;6,"Night",IF(VALUE(LEFT(D251,2))&lt;12,"Morning",IF(VALUE(LEFT(D251,2))&lt;17,"Afternoon",IF(VALUE(LEFT(D251,2))&lt;21,"Evening","Night")))))</f>
        <v/>
      </c>
      <c r="K251" s="3" t="str">
        <f>IF(F251="","",IF(F251&lt;=5,"0-5 min",IF(F251&lt;=15,"6-15 min",IF(F251&lt;=25,"16-25 min","26+ min"))))</f>
        <v/>
      </c>
    </row>
    <row r="252" spans="8:11" x14ac:dyDescent="0.2">
      <c r="H252" s="3" t="str">
        <f>IF(F252="","",IF(F252&lt;=5,"On Time","Delayed"))</f>
        <v/>
      </c>
      <c r="I252" s="3" t="str">
        <f>IF(G252="","",IF(G252&lt;30,"Low",IF(G252&lt;70,"Medium","High")))</f>
        <v/>
      </c>
      <c r="J252" s="3" t="str">
        <f>IF(D252="","",IF(VALUE(LEFT(D252,2))&lt;6,"Night",IF(VALUE(LEFT(D252,2))&lt;12,"Morning",IF(VALUE(LEFT(D252,2))&lt;17,"Afternoon",IF(VALUE(LEFT(D252,2))&lt;21,"Evening","Night")))))</f>
        <v/>
      </c>
      <c r="K252" s="3" t="str">
        <f>IF(F252="","",IF(F252&lt;=5,"0-5 min",IF(F252&lt;=15,"6-15 min",IF(F252&lt;=25,"16-25 min","26+ min"))))</f>
        <v/>
      </c>
    </row>
    <row r="253" spans="8:11" x14ac:dyDescent="0.2">
      <c r="H253" s="3" t="str">
        <f>IF(F253="","",IF(F253&lt;=5,"On Time","Delayed"))</f>
        <v/>
      </c>
      <c r="I253" s="3" t="str">
        <f>IF(G253="","",IF(G253&lt;30,"Low",IF(G253&lt;70,"Medium","High")))</f>
        <v/>
      </c>
      <c r="J253" s="3" t="str">
        <f>IF(D253="","",IF(VALUE(LEFT(D253,2))&lt;6,"Night",IF(VALUE(LEFT(D253,2))&lt;12,"Morning",IF(VALUE(LEFT(D253,2))&lt;17,"Afternoon",IF(VALUE(LEFT(D253,2))&lt;21,"Evening","Night")))))</f>
        <v/>
      </c>
      <c r="K253" s="3" t="str">
        <f>IF(F253="","",IF(F253&lt;=5,"0-5 min",IF(F253&lt;=15,"6-15 min",IF(F253&lt;=25,"16-25 min","26+ min"))))</f>
        <v/>
      </c>
    </row>
    <row r="254" spans="8:11" x14ac:dyDescent="0.2">
      <c r="H254" s="3" t="str">
        <f>IF(F254="","",IF(F254&lt;=5,"On Time","Delayed"))</f>
        <v/>
      </c>
      <c r="I254" s="3" t="str">
        <f>IF(G254="","",IF(G254&lt;30,"Low",IF(G254&lt;70,"Medium","High")))</f>
        <v/>
      </c>
      <c r="J254" s="3" t="str">
        <f>IF(D254="","",IF(VALUE(LEFT(D254,2))&lt;6,"Night",IF(VALUE(LEFT(D254,2))&lt;12,"Morning",IF(VALUE(LEFT(D254,2))&lt;17,"Afternoon",IF(VALUE(LEFT(D254,2))&lt;21,"Evening","Night")))))</f>
        <v/>
      </c>
      <c r="K254" s="3" t="str">
        <f>IF(F254="","",IF(F254&lt;=5,"0-5 min",IF(F254&lt;=15,"6-15 min",IF(F254&lt;=25,"16-25 min","26+ min"))))</f>
        <v/>
      </c>
    </row>
    <row r="255" spans="8:11" x14ac:dyDescent="0.2">
      <c r="H255" s="3" t="str">
        <f>IF(F255="","",IF(F255&lt;=5,"On Time","Delayed"))</f>
        <v/>
      </c>
      <c r="I255" s="3" t="str">
        <f>IF(G255="","",IF(G255&lt;30,"Low",IF(G255&lt;70,"Medium","High")))</f>
        <v/>
      </c>
      <c r="J255" s="3" t="str">
        <f>IF(D255="","",IF(VALUE(LEFT(D255,2))&lt;6,"Night",IF(VALUE(LEFT(D255,2))&lt;12,"Morning",IF(VALUE(LEFT(D255,2))&lt;17,"Afternoon",IF(VALUE(LEFT(D255,2))&lt;21,"Evening","Night")))))</f>
        <v/>
      </c>
      <c r="K255" s="3" t="str">
        <f>IF(F255="","",IF(F255&lt;=5,"0-5 min",IF(F255&lt;=15,"6-15 min",IF(F255&lt;=25,"16-25 min","26+ min"))))</f>
        <v/>
      </c>
    </row>
    <row r="256" spans="8:11" x14ac:dyDescent="0.2">
      <c r="H256" s="3" t="str">
        <f>IF(F256="","",IF(F256&lt;=5,"On Time","Delayed"))</f>
        <v/>
      </c>
      <c r="I256" s="3" t="str">
        <f>IF(G256="","",IF(G256&lt;30,"Low",IF(G256&lt;70,"Medium","High")))</f>
        <v/>
      </c>
      <c r="J256" s="3" t="str">
        <f>IF(D256="","",IF(VALUE(LEFT(D256,2))&lt;6,"Night",IF(VALUE(LEFT(D256,2))&lt;12,"Morning",IF(VALUE(LEFT(D256,2))&lt;17,"Afternoon",IF(VALUE(LEFT(D256,2))&lt;21,"Evening","Night")))))</f>
        <v/>
      </c>
      <c r="K256" s="3" t="str">
        <f>IF(F256="","",IF(F256&lt;=5,"0-5 min",IF(F256&lt;=15,"6-15 min",IF(F256&lt;=25,"16-25 min","26+ min"))))</f>
        <v/>
      </c>
    </row>
    <row r="257" spans="8:11" x14ac:dyDescent="0.2">
      <c r="H257" s="3" t="str">
        <f>IF(F257="","",IF(F257&lt;=5,"On Time","Delayed"))</f>
        <v/>
      </c>
      <c r="I257" s="3" t="str">
        <f>IF(G257="","",IF(G257&lt;30,"Low",IF(G257&lt;70,"Medium","High")))</f>
        <v/>
      </c>
      <c r="J257" s="3" t="str">
        <f>IF(D257="","",IF(VALUE(LEFT(D257,2))&lt;6,"Night",IF(VALUE(LEFT(D257,2))&lt;12,"Morning",IF(VALUE(LEFT(D257,2))&lt;17,"Afternoon",IF(VALUE(LEFT(D257,2))&lt;21,"Evening","Night")))))</f>
        <v/>
      </c>
      <c r="K257" s="3" t="str">
        <f>IF(F257="","",IF(F257&lt;=5,"0-5 min",IF(F257&lt;=15,"6-15 min",IF(F257&lt;=25,"16-25 min","26+ min"))))</f>
        <v/>
      </c>
    </row>
    <row r="258" spans="8:11" x14ac:dyDescent="0.2">
      <c r="H258" s="3" t="str">
        <f>IF(F258="","",IF(F258&lt;=5,"On Time","Delayed"))</f>
        <v/>
      </c>
      <c r="I258" s="3" t="str">
        <f>IF(G258="","",IF(G258&lt;30,"Low",IF(G258&lt;70,"Medium","High")))</f>
        <v/>
      </c>
      <c r="J258" s="3" t="str">
        <f>IF(D258="","",IF(VALUE(LEFT(D258,2))&lt;6,"Night",IF(VALUE(LEFT(D258,2))&lt;12,"Morning",IF(VALUE(LEFT(D258,2))&lt;17,"Afternoon",IF(VALUE(LEFT(D258,2))&lt;21,"Evening","Night")))))</f>
        <v/>
      </c>
      <c r="K258" s="3" t="str">
        <f>IF(F258="","",IF(F258&lt;=5,"0-5 min",IF(F258&lt;=15,"6-15 min",IF(F258&lt;=25,"16-25 min","26+ min"))))</f>
        <v/>
      </c>
    </row>
    <row r="259" spans="8:11" x14ac:dyDescent="0.2">
      <c r="H259" s="3" t="str">
        <f>IF(F259="","",IF(F259&lt;=5,"On Time","Delayed"))</f>
        <v/>
      </c>
      <c r="I259" s="3" t="str">
        <f>IF(G259="","",IF(G259&lt;30,"Low",IF(G259&lt;70,"Medium","High")))</f>
        <v/>
      </c>
      <c r="J259" s="3" t="str">
        <f>IF(D259="","",IF(VALUE(LEFT(D259,2))&lt;6,"Night",IF(VALUE(LEFT(D259,2))&lt;12,"Morning",IF(VALUE(LEFT(D259,2))&lt;17,"Afternoon",IF(VALUE(LEFT(D259,2))&lt;21,"Evening","Night")))))</f>
        <v/>
      </c>
      <c r="K259" s="3" t="str">
        <f>IF(F259="","",IF(F259&lt;=5,"0-5 min",IF(F259&lt;=15,"6-15 min",IF(F259&lt;=25,"16-25 min","26+ min"))))</f>
        <v/>
      </c>
    </row>
    <row r="260" spans="8:11" x14ac:dyDescent="0.2">
      <c r="H260" s="3" t="str">
        <f>IF(F260="","",IF(F260&lt;=5,"On Time","Delayed"))</f>
        <v/>
      </c>
      <c r="I260" s="3" t="str">
        <f>IF(G260="","",IF(G260&lt;30,"Low",IF(G260&lt;70,"Medium","High")))</f>
        <v/>
      </c>
      <c r="J260" s="3" t="str">
        <f>IF(D260="","",IF(VALUE(LEFT(D260,2))&lt;6,"Night",IF(VALUE(LEFT(D260,2))&lt;12,"Morning",IF(VALUE(LEFT(D260,2))&lt;17,"Afternoon",IF(VALUE(LEFT(D260,2))&lt;21,"Evening","Night")))))</f>
        <v/>
      </c>
      <c r="K260" s="3" t="str">
        <f>IF(F260="","",IF(F260&lt;=5,"0-5 min",IF(F260&lt;=15,"6-15 min",IF(F260&lt;=25,"16-25 min","26+ min"))))</f>
        <v/>
      </c>
    </row>
    <row r="261" spans="8:11" x14ac:dyDescent="0.2">
      <c r="H261" s="3" t="str">
        <f>IF(F261="","",IF(F261&lt;=5,"On Time","Delayed"))</f>
        <v/>
      </c>
      <c r="I261" s="3" t="str">
        <f>IF(G261="","",IF(G261&lt;30,"Low",IF(G261&lt;70,"Medium","High")))</f>
        <v/>
      </c>
      <c r="J261" s="3" t="str">
        <f>IF(D261="","",IF(VALUE(LEFT(D261,2))&lt;6,"Night",IF(VALUE(LEFT(D261,2))&lt;12,"Morning",IF(VALUE(LEFT(D261,2))&lt;17,"Afternoon",IF(VALUE(LEFT(D261,2))&lt;21,"Evening","Night")))))</f>
        <v/>
      </c>
      <c r="K261" s="3" t="str">
        <f>IF(F261="","",IF(F261&lt;=5,"0-5 min",IF(F261&lt;=15,"6-15 min",IF(F261&lt;=25,"16-25 min","26+ min"))))</f>
        <v/>
      </c>
    </row>
    <row r="262" spans="8:11" x14ac:dyDescent="0.2">
      <c r="H262" s="3" t="str">
        <f>IF(F262="","",IF(F262&lt;=5,"On Time","Delayed"))</f>
        <v/>
      </c>
      <c r="I262" s="3" t="str">
        <f>IF(G262="","",IF(G262&lt;30,"Low",IF(G262&lt;70,"Medium","High")))</f>
        <v/>
      </c>
      <c r="J262" s="3" t="str">
        <f>IF(D262="","",IF(VALUE(LEFT(D262,2))&lt;6,"Night",IF(VALUE(LEFT(D262,2))&lt;12,"Morning",IF(VALUE(LEFT(D262,2))&lt;17,"Afternoon",IF(VALUE(LEFT(D262,2))&lt;21,"Evening","Night")))))</f>
        <v/>
      </c>
      <c r="K262" s="3" t="str">
        <f>IF(F262="","",IF(F262&lt;=5,"0-5 min",IF(F262&lt;=15,"6-15 min",IF(F262&lt;=25,"16-25 min","26+ min"))))</f>
        <v/>
      </c>
    </row>
    <row r="263" spans="8:11" x14ac:dyDescent="0.2">
      <c r="H263" s="3" t="str">
        <f>IF(F263="","",IF(F263&lt;=5,"On Time","Delayed"))</f>
        <v/>
      </c>
      <c r="I263" s="3" t="str">
        <f>IF(G263="","",IF(G263&lt;30,"Low",IF(G263&lt;70,"Medium","High")))</f>
        <v/>
      </c>
      <c r="J263" s="3" t="str">
        <f>IF(D263="","",IF(VALUE(LEFT(D263,2))&lt;6,"Night",IF(VALUE(LEFT(D263,2))&lt;12,"Morning",IF(VALUE(LEFT(D263,2))&lt;17,"Afternoon",IF(VALUE(LEFT(D263,2))&lt;21,"Evening","Night")))))</f>
        <v/>
      </c>
      <c r="K263" s="3" t="str">
        <f>IF(F263="","",IF(F263&lt;=5,"0-5 min",IF(F263&lt;=15,"6-15 min",IF(F263&lt;=25,"16-25 min","26+ min"))))</f>
        <v/>
      </c>
    </row>
    <row r="264" spans="8:11" x14ac:dyDescent="0.2">
      <c r="H264" s="3" t="str">
        <f>IF(F264="","",IF(F264&lt;=5,"On Time","Delayed"))</f>
        <v/>
      </c>
      <c r="I264" s="3" t="str">
        <f>IF(G264="","",IF(G264&lt;30,"Low",IF(G264&lt;70,"Medium","High")))</f>
        <v/>
      </c>
      <c r="J264" s="3" t="str">
        <f>IF(D264="","",IF(VALUE(LEFT(D264,2))&lt;6,"Night",IF(VALUE(LEFT(D264,2))&lt;12,"Morning",IF(VALUE(LEFT(D264,2))&lt;17,"Afternoon",IF(VALUE(LEFT(D264,2))&lt;21,"Evening","Night")))))</f>
        <v/>
      </c>
      <c r="K264" s="3" t="str">
        <f>IF(F264="","",IF(F264&lt;=5,"0-5 min",IF(F264&lt;=15,"6-15 min",IF(F264&lt;=25,"16-25 min","26+ min"))))</f>
        <v/>
      </c>
    </row>
    <row r="265" spans="8:11" x14ac:dyDescent="0.2">
      <c r="H265" s="3" t="str">
        <f>IF(F265="","",IF(F265&lt;=5,"On Time","Delayed"))</f>
        <v/>
      </c>
      <c r="I265" s="3" t="str">
        <f>IF(G265="","",IF(G265&lt;30,"Low",IF(G265&lt;70,"Medium","High")))</f>
        <v/>
      </c>
      <c r="J265" s="3" t="str">
        <f>IF(D265="","",IF(VALUE(LEFT(D265,2))&lt;6,"Night",IF(VALUE(LEFT(D265,2))&lt;12,"Morning",IF(VALUE(LEFT(D265,2))&lt;17,"Afternoon",IF(VALUE(LEFT(D265,2))&lt;21,"Evening","Night")))))</f>
        <v/>
      </c>
      <c r="K265" s="3" t="str">
        <f>IF(F265="","",IF(F265&lt;=5,"0-5 min",IF(F265&lt;=15,"6-15 min",IF(F265&lt;=25,"16-25 min","26+ min"))))</f>
        <v/>
      </c>
    </row>
    <row r="266" spans="8:11" x14ac:dyDescent="0.2">
      <c r="H266" s="3" t="str">
        <f>IF(F266="","",IF(F266&lt;=5,"On Time","Delayed"))</f>
        <v/>
      </c>
      <c r="I266" s="3" t="str">
        <f>IF(G266="","",IF(G266&lt;30,"Low",IF(G266&lt;70,"Medium","High")))</f>
        <v/>
      </c>
      <c r="J266" s="3" t="str">
        <f>IF(D266="","",IF(VALUE(LEFT(D266,2))&lt;6,"Night",IF(VALUE(LEFT(D266,2))&lt;12,"Morning",IF(VALUE(LEFT(D266,2))&lt;17,"Afternoon",IF(VALUE(LEFT(D266,2))&lt;21,"Evening","Night")))))</f>
        <v/>
      </c>
      <c r="K266" s="3" t="str">
        <f>IF(F266="","",IF(F266&lt;=5,"0-5 min",IF(F266&lt;=15,"6-15 min",IF(F266&lt;=25,"16-25 min","26+ min"))))</f>
        <v/>
      </c>
    </row>
    <row r="267" spans="8:11" x14ac:dyDescent="0.2">
      <c r="H267" s="3" t="str">
        <f>IF(F267="","",IF(F267&lt;=5,"On Time","Delayed"))</f>
        <v/>
      </c>
      <c r="I267" s="3" t="str">
        <f>IF(G267="","",IF(G267&lt;30,"Low",IF(G267&lt;70,"Medium","High")))</f>
        <v/>
      </c>
      <c r="J267" s="3" t="str">
        <f>IF(D267="","",IF(VALUE(LEFT(D267,2))&lt;6,"Night",IF(VALUE(LEFT(D267,2))&lt;12,"Morning",IF(VALUE(LEFT(D267,2))&lt;17,"Afternoon",IF(VALUE(LEFT(D267,2))&lt;21,"Evening","Night")))))</f>
        <v/>
      </c>
      <c r="K267" s="3" t="str">
        <f>IF(F267="","",IF(F267&lt;=5,"0-5 min",IF(F267&lt;=15,"6-15 min",IF(F267&lt;=25,"16-25 min","26+ min"))))</f>
        <v/>
      </c>
    </row>
    <row r="268" spans="8:11" x14ac:dyDescent="0.2">
      <c r="H268" s="3" t="str">
        <f>IF(F268="","",IF(F268&lt;=5,"On Time","Delayed"))</f>
        <v/>
      </c>
      <c r="I268" s="3" t="str">
        <f>IF(G268="","",IF(G268&lt;30,"Low",IF(G268&lt;70,"Medium","High")))</f>
        <v/>
      </c>
      <c r="J268" s="3" t="str">
        <f>IF(D268="","",IF(VALUE(LEFT(D268,2))&lt;6,"Night",IF(VALUE(LEFT(D268,2))&lt;12,"Morning",IF(VALUE(LEFT(D268,2))&lt;17,"Afternoon",IF(VALUE(LEFT(D268,2))&lt;21,"Evening","Night")))))</f>
        <v/>
      </c>
      <c r="K268" s="3" t="str">
        <f>IF(F268="","",IF(F268&lt;=5,"0-5 min",IF(F268&lt;=15,"6-15 min",IF(F268&lt;=25,"16-25 min","26+ min"))))</f>
        <v/>
      </c>
    </row>
    <row r="269" spans="8:11" x14ac:dyDescent="0.2">
      <c r="H269" s="3" t="str">
        <f>IF(F269="","",IF(F269&lt;=5,"On Time","Delayed"))</f>
        <v/>
      </c>
      <c r="I269" s="3" t="str">
        <f>IF(G269="","",IF(G269&lt;30,"Low",IF(G269&lt;70,"Medium","High")))</f>
        <v/>
      </c>
      <c r="J269" s="3" t="str">
        <f>IF(D269="","",IF(VALUE(LEFT(D269,2))&lt;6,"Night",IF(VALUE(LEFT(D269,2))&lt;12,"Morning",IF(VALUE(LEFT(D269,2))&lt;17,"Afternoon",IF(VALUE(LEFT(D269,2))&lt;21,"Evening","Night")))))</f>
        <v/>
      </c>
      <c r="K269" s="3" t="str">
        <f>IF(F269="","",IF(F269&lt;=5,"0-5 min",IF(F269&lt;=15,"6-15 min",IF(F269&lt;=25,"16-25 min","26+ min"))))</f>
        <v/>
      </c>
    </row>
    <row r="270" spans="8:11" x14ac:dyDescent="0.2">
      <c r="H270" s="3" t="str">
        <f>IF(F270="","",IF(F270&lt;=5,"On Time","Delayed"))</f>
        <v/>
      </c>
      <c r="I270" s="3" t="str">
        <f>IF(G270="","",IF(G270&lt;30,"Low",IF(G270&lt;70,"Medium","High")))</f>
        <v/>
      </c>
      <c r="J270" s="3" t="str">
        <f>IF(D270="","",IF(VALUE(LEFT(D270,2))&lt;6,"Night",IF(VALUE(LEFT(D270,2))&lt;12,"Morning",IF(VALUE(LEFT(D270,2))&lt;17,"Afternoon",IF(VALUE(LEFT(D270,2))&lt;21,"Evening","Night")))))</f>
        <v/>
      </c>
      <c r="K270" s="3" t="str">
        <f>IF(F270="","",IF(F270&lt;=5,"0-5 min",IF(F270&lt;=15,"6-15 min",IF(F270&lt;=25,"16-25 min","26+ min"))))</f>
        <v/>
      </c>
    </row>
    <row r="271" spans="8:11" x14ac:dyDescent="0.2">
      <c r="H271" s="3" t="str">
        <f>IF(F271="","",IF(F271&lt;=5,"On Time","Delayed"))</f>
        <v/>
      </c>
      <c r="I271" s="3" t="str">
        <f>IF(G271="","",IF(G271&lt;30,"Low",IF(G271&lt;70,"Medium","High")))</f>
        <v/>
      </c>
      <c r="J271" s="3" t="str">
        <f>IF(D271="","",IF(VALUE(LEFT(D271,2))&lt;6,"Night",IF(VALUE(LEFT(D271,2))&lt;12,"Morning",IF(VALUE(LEFT(D271,2))&lt;17,"Afternoon",IF(VALUE(LEFT(D271,2))&lt;21,"Evening","Night")))))</f>
        <v/>
      </c>
      <c r="K271" s="3" t="str">
        <f>IF(F271="","",IF(F271&lt;=5,"0-5 min",IF(F271&lt;=15,"6-15 min",IF(F271&lt;=25,"16-25 min","26+ min"))))</f>
        <v/>
      </c>
    </row>
    <row r="272" spans="8:11" x14ac:dyDescent="0.2">
      <c r="H272" s="3" t="str">
        <f>IF(F272="","",IF(F272&lt;=5,"On Time","Delayed"))</f>
        <v/>
      </c>
      <c r="I272" s="3" t="str">
        <f>IF(G272="","",IF(G272&lt;30,"Low",IF(G272&lt;70,"Medium","High")))</f>
        <v/>
      </c>
      <c r="J272" s="3" t="str">
        <f>IF(D272="","",IF(VALUE(LEFT(D272,2))&lt;6,"Night",IF(VALUE(LEFT(D272,2))&lt;12,"Morning",IF(VALUE(LEFT(D272,2))&lt;17,"Afternoon",IF(VALUE(LEFT(D272,2))&lt;21,"Evening","Night")))))</f>
        <v/>
      </c>
      <c r="K272" s="3" t="str">
        <f>IF(F272="","",IF(F272&lt;=5,"0-5 min",IF(F272&lt;=15,"6-15 min",IF(F272&lt;=25,"16-25 min","26+ min"))))</f>
        <v/>
      </c>
    </row>
    <row r="273" spans="8:11" x14ac:dyDescent="0.2">
      <c r="H273" s="3" t="str">
        <f>IF(F273="","",IF(F273&lt;=5,"On Time","Delayed"))</f>
        <v/>
      </c>
      <c r="I273" s="3" t="str">
        <f>IF(G273="","",IF(G273&lt;30,"Low",IF(G273&lt;70,"Medium","High")))</f>
        <v/>
      </c>
      <c r="J273" s="3" t="str">
        <f>IF(D273="","",IF(VALUE(LEFT(D273,2))&lt;6,"Night",IF(VALUE(LEFT(D273,2))&lt;12,"Morning",IF(VALUE(LEFT(D273,2))&lt;17,"Afternoon",IF(VALUE(LEFT(D273,2))&lt;21,"Evening","Night")))))</f>
        <v/>
      </c>
      <c r="K273" s="3" t="str">
        <f>IF(F273="","",IF(F273&lt;=5,"0-5 min",IF(F273&lt;=15,"6-15 min",IF(F273&lt;=25,"16-25 min","26+ min"))))</f>
        <v/>
      </c>
    </row>
    <row r="274" spans="8:11" x14ac:dyDescent="0.2">
      <c r="H274" s="3" t="str">
        <f>IF(F274="","",IF(F274&lt;=5,"On Time","Delayed"))</f>
        <v/>
      </c>
      <c r="I274" s="3" t="str">
        <f>IF(G274="","",IF(G274&lt;30,"Low",IF(G274&lt;70,"Medium","High")))</f>
        <v/>
      </c>
      <c r="J274" s="3" t="str">
        <f>IF(D274="","",IF(VALUE(LEFT(D274,2))&lt;6,"Night",IF(VALUE(LEFT(D274,2))&lt;12,"Morning",IF(VALUE(LEFT(D274,2))&lt;17,"Afternoon",IF(VALUE(LEFT(D274,2))&lt;21,"Evening","Night")))))</f>
        <v/>
      </c>
      <c r="K274" s="3" t="str">
        <f>IF(F274="","",IF(F274&lt;=5,"0-5 min",IF(F274&lt;=15,"6-15 min",IF(F274&lt;=25,"16-25 min","26+ min"))))</f>
        <v/>
      </c>
    </row>
    <row r="275" spans="8:11" x14ac:dyDescent="0.2">
      <c r="H275" s="3" t="str">
        <f>IF(F275="","",IF(F275&lt;=5,"On Time","Delayed"))</f>
        <v/>
      </c>
      <c r="I275" s="3" t="str">
        <f>IF(G275="","",IF(G275&lt;30,"Low",IF(G275&lt;70,"Medium","High")))</f>
        <v/>
      </c>
      <c r="J275" s="3" t="str">
        <f>IF(D275="","",IF(VALUE(LEFT(D275,2))&lt;6,"Night",IF(VALUE(LEFT(D275,2))&lt;12,"Morning",IF(VALUE(LEFT(D275,2))&lt;17,"Afternoon",IF(VALUE(LEFT(D275,2))&lt;21,"Evening","Night")))))</f>
        <v/>
      </c>
      <c r="K275" s="3" t="str">
        <f>IF(F275="","",IF(F275&lt;=5,"0-5 min",IF(F275&lt;=15,"6-15 min",IF(F275&lt;=25,"16-25 min","26+ min"))))</f>
        <v/>
      </c>
    </row>
    <row r="276" spans="8:11" x14ac:dyDescent="0.2">
      <c r="H276" s="3" t="str">
        <f>IF(F276="","",IF(F276&lt;=5,"On Time","Delayed"))</f>
        <v/>
      </c>
      <c r="I276" s="3" t="str">
        <f>IF(G276="","",IF(G276&lt;30,"Low",IF(G276&lt;70,"Medium","High")))</f>
        <v/>
      </c>
      <c r="J276" s="3" t="str">
        <f>IF(D276="","",IF(VALUE(LEFT(D276,2))&lt;6,"Night",IF(VALUE(LEFT(D276,2))&lt;12,"Morning",IF(VALUE(LEFT(D276,2))&lt;17,"Afternoon",IF(VALUE(LEFT(D276,2))&lt;21,"Evening","Night")))))</f>
        <v/>
      </c>
      <c r="K276" s="3" t="str">
        <f>IF(F276="","",IF(F276&lt;=5,"0-5 min",IF(F276&lt;=15,"6-15 min",IF(F276&lt;=25,"16-25 min","26+ min"))))</f>
        <v/>
      </c>
    </row>
    <row r="277" spans="8:11" x14ac:dyDescent="0.2">
      <c r="H277" s="3" t="str">
        <f>IF(F277="","",IF(F277&lt;=5,"On Time","Delayed"))</f>
        <v/>
      </c>
      <c r="I277" s="3" t="str">
        <f>IF(G277="","",IF(G277&lt;30,"Low",IF(G277&lt;70,"Medium","High")))</f>
        <v/>
      </c>
      <c r="J277" s="3" t="str">
        <f>IF(D277="","",IF(VALUE(LEFT(D277,2))&lt;6,"Night",IF(VALUE(LEFT(D277,2))&lt;12,"Morning",IF(VALUE(LEFT(D277,2))&lt;17,"Afternoon",IF(VALUE(LEFT(D277,2))&lt;21,"Evening","Night")))))</f>
        <v/>
      </c>
      <c r="K277" s="3" t="str">
        <f>IF(F277="","",IF(F277&lt;=5,"0-5 min",IF(F277&lt;=15,"6-15 min",IF(F277&lt;=25,"16-25 min","26+ min"))))</f>
        <v/>
      </c>
    </row>
    <row r="278" spans="8:11" x14ac:dyDescent="0.2">
      <c r="H278" s="3" t="str">
        <f>IF(F278="","",IF(F278&lt;=5,"On Time","Delayed"))</f>
        <v/>
      </c>
      <c r="I278" s="3" t="str">
        <f>IF(G278="","",IF(G278&lt;30,"Low",IF(G278&lt;70,"Medium","High")))</f>
        <v/>
      </c>
      <c r="J278" s="3" t="str">
        <f>IF(D278="","",IF(VALUE(LEFT(D278,2))&lt;6,"Night",IF(VALUE(LEFT(D278,2))&lt;12,"Morning",IF(VALUE(LEFT(D278,2))&lt;17,"Afternoon",IF(VALUE(LEFT(D278,2))&lt;21,"Evening","Night")))))</f>
        <v/>
      </c>
      <c r="K278" s="3" t="str">
        <f>IF(F278="","",IF(F278&lt;=5,"0-5 min",IF(F278&lt;=15,"6-15 min",IF(F278&lt;=25,"16-25 min","26+ min"))))</f>
        <v/>
      </c>
    </row>
    <row r="279" spans="8:11" x14ac:dyDescent="0.2">
      <c r="H279" s="3" t="str">
        <f>IF(F279="","",IF(F279&lt;=5,"On Time","Delayed"))</f>
        <v/>
      </c>
      <c r="I279" s="3" t="str">
        <f>IF(G279="","",IF(G279&lt;30,"Low",IF(G279&lt;70,"Medium","High")))</f>
        <v/>
      </c>
      <c r="J279" s="3" t="str">
        <f>IF(D279="","",IF(VALUE(LEFT(D279,2))&lt;6,"Night",IF(VALUE(LEFT(D279,2))&lt;12,"Morning",IF(VALUE(LEFT(D279,2))&lt;17,"Afternoon",IF(VALUE(LEFT(D279,2))&lt;21,"Evening","Night")))))</f>
        <v/>
      </c>
      <c r="K279" s="3" t="str">
        <f>IF(F279="","",IF(F279&lt;=5,"0-5 min",IF(F279&lt;=15,"6-15 min",IF(F279&lt;=25,"16-25 min","26+ min"))))</f>
        <v/>
      </c>
    </row>
    <row r="280" spans="8:11" x14ac:dyDescent="0.2">
      <c r="H280" s="3" t="str">
        <f>IF(F280="","",IF(F280&lt;=5,"On Time","Delayed"))</f>
        <v/>
      </c>
      <c r="I280" s="3" t="str">
        <f>IF(G280="","",IF(G280&lt;30,"Low",IF(G280&lt;70,"Medium","High")))</f>
        <v/>
      </c>
      <c r="J280" s="3" t="str">
        <f>IF(D280="","",IF(VALUE(LEFT(D280,2))&lt;6,"Night",IF(VALUE(LEFT(D280,2))&lt;12,"Morning",IF(VALUE(LEFT(D280,2))&lt;17,"Afternoon",IF(VALUE(LEFT(D280,2))&lt;21,"Evening","Night")))))</f>
        <v/>
      </c>
      <c r="K280" s="3" t="str">
        <f>IF(F280="","",IF(F280&lt;=5,"0-5 min",IF(F280&lt;=15,"6-15 min",IF(F280&lt;=25,"16-25 min","26+ min"))))</f>
        <v/>
      </c>
    </row>
    <row r="281" spans="8:11" x14ac:dyDescent="0.2">
      <c r="H281" s="3" t="str">
        <f>IF(F281="","",IF(F281&lt;=5,"On Time","Delayed"))</f>
        <v/>
      </c>
      <c r="I281" s="3" t="str">
        <f>IF(G281="","",IF(G281&lt;30,"Low",IF(G281&lt;70,"Medium","High")))</f>
        <v/>
      </c>
      <c r="J281" s="3" t="str">
        <f>IF(D281="","",IF(VALUE(LEFT(D281,2))&lt;6,"Night",IF(VALUE(LEFT(D281,2))&lt;12,"Morning",IF(VALUE(LEFT(D281,2))&lt;17,"Afternoon",IF(VALUE(LEFT(D281,2))&lt;21,"Evening","Night")))))</f>
        <v/>
      </c>
      <c r="K281" s="3" t="str">
        <f>IF(F281="","",IF(F281&lt;=5,"0-5 min",IF(F281&lt;=15,"6-15 min",IF(F281&lt;=25,"16-25 min","26+ min"))))</f>
        <v/>
      </c>
    </row>
    <row r="282" spans="8:11" x14ac:dyDescent="0.2">
      <c r="H282" s="3" t="str">
        <f>IF(F282="","",IF(F282&lt;=5,"On Time","Delayed"))</f>
        <v/>
      </c>
      <c r="I282" s="3" t="str">
        <f>IF(G282="","",IF(G282&lt;30,"Low",IF(G282&lt;70,"Medium","High")))</f>
        <v/>
      </c>
      <c r="J282" s="3" t="str">
        <f>IF(D282="","",IF(VALUE(LEFT(D282,2))&lt;6,"Night",IF(VALUE(LEFT(D282,2))&lt;12,"Morning",IF(VALUE(LEFT(D282,2))&lt;17,"Afternoon",IF(VALUE(LEFT(D282,2))&lt;21,"Evening","Night")))))</f>
        <v/>
      </c>
      <c r="K282" s="3" t="str">
        <f>IF(F282="","",IF(F282&lt;=5,"0-5 min",IF(F282&lt;=15,"6-15 min",IF(F282&lt;=25,"16-25 min","26+ min"))))</f>
        <v/>
      </c>
    </row>
    <row r="283" spans="8:11" x14ac:dyDescent="0.2">
      <c r="H283" s="3" t="str">
        <f>IF(F283="","",IF(F283&lt;=5,"On Time","Delayed"))</f>
        <v/>
      </c>
      <c r="I283" s="3" t="str">
        <f>IF(G283="","",IF(G283&lt;30,"Low",IF(G283&lt;70,"Medium","High")))</f>
        <v/>
      </c>
      <c r="J283" s="3" t="str">
        <f>IF(D283="","",IF(VALUE(LEFT(D283,2))&lt;6,"Night",IF(VALUE(LEFT(D283,2))&lt;12,"Morning",IF(VALUE(LEFT(D283,2))&lt;17,"Afternoon",IF(VALUE(LEFT(D283,2))&lt;21,"Evening","Night")))))</f>
        <v/>
      </c>
      <c r="K283" s="3" t="str">
        <f>IF(F283="","",IF(F283&lt;=5,"0-5 min",IF(F283&lt;=15,"6-15 min",IF(F283&lt;=25,"16-25 min","26+ min"))))</f>
        <v/>
      </c>
    </row>
    <row r="284" spans="8:11" x14ac:dyDescent="0.2">
      <c r="H284" s="3" t="str">
        <f>IF(F284="","",IF(F284&lt;=5,"On Time","Delayed"))</f>
        <v/>
      </c>
      <c r="I284" s="3" t="str">
        <f>IF(G284="","",IF(G284&lt;30,"Low",IF(G284&lt;70,"Medium","High")))</f>
        <v/>
      </c>
      <c r="J284" s="3" t="str">
        <f>IF(D284="","",IF(VALUE(LEFT(D284,2))&lt;6,"Night",IF(VALUE(LEFT(D284,2))&lt;12,"Morning",IF(VALUE(LEFT(D284,2))&lt;17,"Afternoon",IF(VALUE(LEFT(D284,2))&lt;21,"Evening","Night")))))</f>
        <v/>
      </c>
      <c r="K284" s="3" t="str">
        <f>IF(F284="","",IF(F284&lt;=5,"0-5 min",IF(F284&lt;=15,"6-15 min",IF(F284&lt;=25,"16-25 min","26+ min"))))</f>
        <v/>
      </c>
    </row>
    <row r="285" spans="8:11" x14ac:dyDescent="0.2">
      <c r="H285" s="3" t="str">
        <f>IF(F285="","",IF(F285&lt;=5,"On Time","Delayed"))</f>
        <v/>
      </c>
      <c r="I285" s="3" t="str">
        <f>IF(G285="","",IF(G285&lt;30,"Low",IF(G285&lt;70,"Medium","High")))</f>
        <v/>
      </c>
      <c r="J285" s="3" t="str">
        <f>IF(D285="","",IF(VALUE(LEFT(D285,2))&lt;6,"Night",IF(VALUE(LEFT(D285,2))&lt;12,"Morning",IF(VALUE(LEFT(D285,2))&lt;17,"Afternoon",IF(VALUE(LEFT(D285,2))&lt;21,"Evening","Night")))))</f>
        <v/>
      </c>
      <c r="K285" s="3" t="str">
        <f>IF(F285="","",IF(F285&lt;=5,"0-5 min",IF(F285&lt;=15,"6-15 min",IF(F285&lt;=25,"16-25 min","26+ min"))))</f>
        <v/>
      </c>
    </row>
    <row r="286" spans="8:11" x14ac:dyDescent="0.2">
      <c r="H286" s="3" t="str">
        <f>IF(F286="","",IF(F286&lt;=5,"On Time","Delayed"))</f>
        <v/>
      </c>
      <c r="I286" s="3" t="str">
        <f>IF(G286="","",IF(G286&lt;30,"Low",IF(G286&lt;70,"Medium","High")))</f>
        <v/>
      </c>
      <c r="J286" s="3" t="str">
        <f>IF(D286="","",IF(VALUE(LEFT(D286,2))&lt;6,"Night",IF(VALUE(LEFT(D286,2))&lt;12,"Morning",IF(VALUE(LEFT(D286,2))&lt;17,"Afternoon",IF(VALUE(LEFT(D286,2))&lt;21,"Evening","Night")))))</f>
        <v/>
      </c>
      <c r="K286" s="3" t="str">
        <f>IF(F286="","",IF(F286&lt;=5,"0-5 min",IF(F286&lt;=15,"6-15 min",IF(F286&lt;=25,"16-25 min","26+ min"))))</f>
        <v/>
      </c>
    </row>
    <row r="287" spans="8:11" x14ac:dyDescent="0.2">
      <c r="H287" s="3" t="str">
        <f>IF(F287="","",IF(F287&lt;=5,"On Time","Delayed"))</f>
        <v/>
      </c>
      <c r="I287" s="3" t="str">
        <f>IF(G287="","",IF(G287&lt;30,"Low",IF(G287&lt;70,"Medium","High")))</f>
        <v/>
      </c>
      <c r="J287" s="3" t="str">
        <f>IF(D287="","",IF(VALUE(LEFT(D287,2))&lt;6,"Night",IF(VALUE(LEFT(D287,2))&lt;12,"Morning",IF(VALUE(LEFT(D287,2))&lt;17,"Afternoon",IF(VALUE(LEFT(D287,2))&lt;21,"Evening","Night")))))</f>
        <v/>
      </c>
      <c r="K287" s="3" t="str">
        <f>IF(F287="","",IF(F287&lt;=5,"0-5 min",IF(F287&lt;=15,"6-15 min",IF(F287&lt;=25,"16-25 min","26+ min"))))</f>
        <v/>
      </c>
    </row>
    <row r="288" spans="8:11" x14ac:dyDescent="0.2">
      <c r="H288" s="3" t="str">
        <f>IF(F288="","",IF(F288&lt;=5,"On Time","Delayed"))</f>
        <v/>
      </c>
      <c r="I288" s="3" t="str">
        <f>IF(G288="","",IF(G288&lt;30,"Low",IF(G288&lt;70,"Medium","High")))</f>
        <v/>
      </c>
      <c r="J288" s="3" t="str">
        <f>IF(D288="","",IF(VALUE(LEFT(D288,2))&lt;6,"Night",IF(VALUE(LEFT(D288,2))&lt;12,"Morning",IF(VALUE(LEFT(D288,2))&lt;17,"Afternoon",IF(VALUE(LEFT(D288,2))&lt;21,"Evening","Night")))))</f>
        <v/>
      </c>
      <c r="K288" s="3" t="str">
        <f>IF(F288="","",IF(F288&lt;=5,"0-5 min",IF(F288&lt;=15,"6-15 min",IF(F288&lt;=25,"16-25 min","26+ min"))))</f>
        <v/>
      </c>
    </row>
    <row r="289" spans="1:11" x14ac:dyDescent="0.2">
      <c r="H289" s="3" t="str">
        <f>IF(F289="","",IF(F289&lt;=5,"On Time","Delayed"))</f>
        <v/>
      </c>
      <c r="I289" s="3" t="str">
        <f>IF(G289="","",IF(G289&lt;30,"Low",IF(G289&lt;70,"Medium","High")))</f>
        <v/>
      </c>
      <c r="J289" s="3" t="str">
        <f>IF(D289="","",IF(VALUE(LEFT(D289,2))&lt;6,"Night",IF(VALUE(LEFT(D289,2))&lt;12,"Morning",IF(VALUE(LEFT(D289,2))&lt;17,"Afternoon",IF(VALUE(LEFT(D289,2))&lt;21,"Evening","Night")))))</f>
        <v/>
      </c>
      <c r="K289" s="3" t="str">
        <f>IF(F289="","",IF(F289&lt;=5,"0-5 min",IF(F289&lt;=15,"6-15 min",IF(F289&lt;=25,"16-25 min","26+ min"))))</f>
        <v/>
      </c>
    </row>
    <row r="290" spans="1:11" x14ac:dyDescent="0.2">
      <c r="H290" s="3" t="str">
        <f>IF(F290="","",IF(F290&lt;=5,"On Time","Delayed"))</f>
        <v/>
      </c>
      <c r="I290" s="3" t="str">
        <f>IF(G290="","",IF(G290&lt;30,"Low",IF(G290&lt;70,"Medium","High")))</f>
        <v/>
      </c>
      <c r="J290" s="3" t="str">
        <f>IF(D290="","",IF(VALUE(LEFT(D290,2))&lt;6,"Night",IF(VALUE(LEFT(D290,2))&lt;12,"Morning",IF(VALUE(LEFT(D290,2))&lt;17,"Afternoon",IF(VALUE(LEFT(D290,2))&lt;21,"Evening","Night")))))</f>
        <v/>
      </c>
      <c r="K290" s="3" t="str">
        <f>IF(F290="","",IF(F290&lt;=5,"0-5 min",IF(F290&lt;=15,"6-15 min",IF(F290&lt;=25,"16-25 min","26+ min"))))</f>
        <v/>
      </c>
    </row>
    <row r="291" spans="1:11" x14ac:dyDescent="0.2">
      <c r="H291" s="3" t="str">
        <f>IF(F291="","",IF(F291&lt;=5,"On Time","Delayed"))</f>
        <v/>
      </c>
      <c r="I291" s="3" t="str">
        <f>IF(G291="","",IF(G291&lt;30,"Low",IF(G291&lt;70,"Medium","High")))</f>
        <v/>
      </c>
      <c r="J291" s="3" t="str">
        <f>IF(D291="","",IF(VALUE(LEFT(D291,2))&lt;6,"Night",IF(VALUE(LEFT(D291,2))&lt;12,"Morning",IF(VALUE(LEFT(D291,2))&lt;17,"Afternoon",IF(VALUE(LEFT(D291,2))&lt;21,"Evening","Night")))))</f>
        <v/>
      </c>
      <c r="K291" s="3" t="str">
        <f>IF(F291="","",IF(F291&lt;=5,"0-5 min",IF(F291&lt;=15,"6-15 min",IF(F291&lt;=25,"16-25 min","26+ min"))))</f>
        <v/>
      </c>
    </row>
    <row r="292" spans="1:11" x14ac:dyDescent="0.2">
      <c r="H292" s="3" t="str">
        <f>IF(F292="","",IF(F292&lt;=5,"On Time","Delayed"))</f>
        <v/>
      </c>
      <c r="I292" s="3" t="str">
        <f>IF(G292="","",IF(G292&lt;30,"Low",IF(G292&lt;70,"Medium","High")))</f>
        <v/>
      </c>
      <c r="J292" s="3" t="str">
        <f>IF(D292="","",IF(VALUE(LEFT(D292,2))&lt;6,"Night",IF(VALUE(LEFT(D292,2))&lt;12,"Morning",IF(VALUE(LEFT(D292,2))&lt;17,"Afternoon",IF(VALUE(LEFT(D292,2))&lt;21,"Evening","Night")))))</f>
        <v/>
      </c>
      <c r="K292" s="3" t="str">
        <f>IF(F292="","",IF(F292&lt;=5,"0-5 min",IF(F292&lt;=15,"6-15 min",IF(F292&lt;=25,"16-25 min","26+ min"))))</f>
        <v/>
      </c>
    </row>
    <row r="293" spans="1:11" x14ac:dyDescent="0.2">
      <c r="H293" s="3" t="str">
        <f>IF(F293="","",IF(F293&lt;=5,"On Time","Delayed"))</f>
        <v/>
      </c>
      <c r="I293" s="3" t="str">
        <f>IF(G293="","",IF(G293&lt;30,"Low",IF(G293&lt;70,"Medium","High")))</f>
        <v/>
      </c>
      <c r="J293" s="3" t="str">
        <f>IF(D293="","",IF(VALUE(LEFT(D293,2))&lt;6,"Night",IF(VALUE(LEFT(D293,2))&lt;12,"Morning",IF(VALUE(LEFT(D293,2))&lt;17,"Afternoon",IF(VALUE(LEFT(D293,2))&lt;21,"Evening","Night")))))</f>
        <v/>
      </c>
      <c r="K293" s="3" t="str">
        <f>IF(F293="","",IF(F293&lt;=5,"0-5 min",IF(F293&lt;=15,"6-15 min",IF(F293&lt;=25,"16-25 min","26+ min"))))</f>
        <v/>
      </c>
    </row>
    <row r="294" spans="1:11" x14ac:dyDescent="0.2">
      <c r="H294" s="3" t="str">
        <f>IF(F294="","",IF(F294&lt;=5,"On Time","Delayed"))</f>
        <v/>
      </c>
      <c r="I294" s="3" t="str">
        <f>IF(G294="","",IF(G294&lt;30,"Low",IF(G294&lt;70,"Medium","High")))</f>
        <v/>
      </c>
      <c r="J294" s="3" t="str">
        <f>IF(D294="","",IF(VALUE(LEFT(D294,2))&lt;6,"Night",IF(VALUE(LEFT(D294,2))&lt;12,"Morning",IF(VALUE(LEFT(D294,2))&lt;17,"Afternoon",IF(VALUE(LEFT(D294,2))&lt;21,"Evening","Night")))))</f>
        <v/>
      </c>
      <c r="K294" s="3" t="str">
        <f>IF(F294="","",IF(F294&lt;=5,"0-5 min",IF(F294&lt;=15,"6-15 min",IF(F294&lt;=25,"16-25 min","26+ min"))))</f>
        <v/>
      </c>
    </row>
    <row r="295" spans="1:11" x14ac:dyDescent="0.2">
      <c r="H295" s="3" t="str">
        <f>IF(F295="","",IF(F295&lt;=5,"On Time","Delayed"))</f>
        <v/>
      </c>
      <c r="I295" s="3" t="str">
        <f>IF(G295="","",IF(G295&lt;30,"Low",IF(G295&lt;70,"Medium","High")))</f>
        <v/>
      </c>
      <c r="J295" s="3" t="str">
        <f>IF(D295="","",IF(VALUE(LEFT(D295,2))&lt;6,"Night",IF(VALUE(LEFT(D295,2))&lt;12,"Morning",IF(VALUE(LEFT(D295,2))&lt;17,"Afternoon",IF(VALUE(LEFT(D295,2))&lt;21,"Evening","Night")))))</f>
        <v/>
      </c>
      <c r="K295" s="3" t="str">
        <f>IF(F295="","",IF(F295&lt;=5,"0-5 min",IF(F295&lt;=15,"6-15 min",IF(F295&lt;=25,"16-25 min","26+ min"))))</f>
        <v/>
      </c>
    </row>
    <row r="296" spans="1:11" x14ac:dyDescent="0.2">
      <c r="H296" s="3" t="str">
        <f>IF(F296="","",IF(F296&lt;=5,"On Time","Delayed"))</f>
        <v/>
      </c>
      <c r="I296" s="3" t="str">
        <f>IF(G296="","",IF(G296&lt;30,"Low",IF(G296&lt;70,"Medium","High")))</f>
        <v/>
      </c>
      <c r="J296" s="3" t="str">
        <f>IF(D296="","",IF(VALUE(LEFT(D296,2))&lt;6,"Night",IF(VALUE(LEFT(D296,2))&lt;12,"Morning",IF(VALUE(LEFT(D296,2))&lt;17,"Afternoon",IF(VALUE(LEFT(D296,2))&lt;21,"Evening","Night")))))</f>
        <v/>
      </c>
      <c r="K296" s="3" t="str">
        <f>IF(F296="","",IF(F296&lt;=5,"0-5 min",IF(F296&lt;=15,"6-15 min",IF(F296&lt;=25,"16-25 min","26+ min"))))</f>
        <v/>
      </c>
    </row>
    <row r="297" spans="1:11" x14ac:dyDescent="0.2">
      <c r="H297" s="3" t="str">
        <f>IF(F297="","",IF(F297&lt;=5,"On Time","Delayed"))</f>
        <v/>
      </c>
      <c r="I297" s="3" t="str">
        <f>IF(G297="","",IF(G297&lt;30,"Low",IF(G297&lt;70,"Medium","High")))</f>
        <v/>
      </c>
      <c r="J297" s="3" t="str">
        <f>IF(D297="","",IF(VALUE(LEFT(D297,2))&lt;6,"Night",IF(VALUE(LEFT(D297,2))&lt;12,"Morning",IF(VALUE(LEFT(D297,2))&lt;17,"Afternoon",IF(VALUE(LEFT(D297,2))&lt;21,"Evening","Night")))))</f>
        <v/>
      </c>
      <c r="K297" s="3" t="str">
        <f>IF(F297="","",IF(F297&lt;=5,"0-5 min",IF(F297&lt;=15,"6-15 min",IF(F297&lt;=25,"16-25 min","26+ min"))))</f>
        <v/>
      </c>
    </row>
    <row r="298" spans="1:11" x14ac:dyDescent="0.2">
      <c r="H298" s="3" t="str">
        <f>IF(F298="","",IF(F298&lt;=5,"On Time","Delayed"))</f>
        <v/>
      </c>
      <c r="I298" s="3" t="str">
        <f>IF(G298="","",IF(G298&lt;30,"Low",IF(G298&lt;70,"Medium","High")))</f>
        <v/>
      </c>
      <c r="J298" s="3" t="str">
        <f>IF(D298="","",IF(VALUE(LEFT(D298,2))&lt;6,"Night",IF(VALUE(LEFT(D298,2))&lt;12,"Morning",IF(VALUE(LEFT(D298,2))&lt;17,"Afternoon",IF(VALUE(LEFT(D298,2))&lt;21,"Evening","Night")))))</f>
        <v/>
      </c>
      <c r="K298" s="3" t="str">
        <f>IF(F298="","",IF(F298&lt;=5,"0-5 min",IF(F298&lt;=15,"6-15 min",IF(F298&lt;=25,"16-25 min","26+ min"))))</f>
        <v/>
      </c>
    </row>
    <row r="299" spans="1:11" x14ac:dyDescent="0.2">
      <c r="H299" s="3" t="str">
        <f>IF(F299="","",IF(F299&lt;=5,"On Time","Delayed"))</f>
        <v/>
      </c>
      <c r="I299" s="3" t="str">
        <f>IF(G299="","",IF(G299&lt;30,"Low",IF(G299&lt;70,"Medium","High")))</f>
        <v/>
      </c>
      <c r="J299" s="3" t="str">
        <f>IF(D299="","",IF(VALUE(LEFT(D299,2))&lt;6,"Night",IF(VALUE(LEFT(D299,2))&lt;12,"Morning",IF(VALUE(LEFT(D299,2))&lt;17,"Afternoon",IF(VALUE(LEFT(D299,2))&lt;21,"Evening","Night")))))</f>
        <v/>
      </c>
      <c r="K299" s="3" t="str">
        <f>IF(F299="","",IF(F299&lt;=5,"0-5 min",IF(F299&lt;=15,"6-15 min",IF(F299&lt;=25,"16-25 min","26+ min"))))</f>
        <v/>
      </c>
    </row>
    <row r="300" spans="1:11" x14ac:dyDescent="0.2">
      <c r="H300" s="3" t="str">
        <f>IF(F300="","",IF(F300&lt;=5,"On Time","Delayed"))</f>
        <v/>
      </c>
      <c r="I300" s="3" t="str">
        <f>IF(G300="","",IF(G300&lt;30,"Low",IF(G300&lt;70,"Medium","High")))</f>
        <v/>
      </c>
      <c r="J300" s="3" t="str">
        <f>IF(D300="","",IF(VALUE(LEFT(D300,2))&lt;6,"Night",IF(VALUE(LEFT(D300,2))&lt;12,"Morning",IF(VALUE(LEFT(D300,2))&lt;17,"Afternoon",IF(VALUE(LEFT(D300,2))&lt;21,"Evening","Night")))))</f>
        <v/>
      </c>
      <c r="K300" s="3" t="str">
        <f>IF(F300="","",IF(F300&lt;=5,"0-5 min",IF(F300&lt;=15,"6-15 min",IF(F300&lt;=25,"16-25 min","26+ min"))))</f>
        <v/>
      </c>
    </row>
    <row r="303" spans="1:11" x14ac:dyDescent="0.2">
      <c r="A303" s="4" t="s">
        <v>55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showGridLines="0" zoomScaleNormal="100" workbookViewId="0"/>
  </sheetViews>
  <sheetFormatPr defaultColWidth="8.7421875" defaultRowHeight="15" x14ac:dyDescent="0.2"/>
  <cols>
    <col min="1" max="1" width="25.9609375" customWidth="1"/>
    <col min="2" max="4" width="16.0078125" customWidth="1"/>
  </cols>
  <sheetData>
    <row r="1" spans="1:4" ht="18" x14ac:dyDescent="0.2">
      <c r="A1" s="14" t="s">
        <v>56</v>
      </c>
      <c r="B1" s="14"/>
      <c r="C1" s="14"/>
      <c r="D1" s="14"/>
    </row>
    <row r="3" spans="1:4" x14ac:dyDescent="0.2">
      <c r="A3" s="11" t="s">
        <v>57</v>
      </c>
      <c r="B3" s="11"/>
    </row>
    <row r="4" spans="1:4" x14ac:dyDescent="0.2">
      <c r="A4" s="5" t="s">
        <v>58</v>
      </c>
      <c r="B4" s="3">
        <f>COUNTA(Raw_Data!A2:A300)</f>
        <v>12</v>
      </c>
    </row>
    <row r="5" spans="1:4" x14ac:dyDescent="0.2">
      <c r="A5" s="5" t="s">
        <v>59</v>
      </c>
      <c r="B5" s="3">
        <f>IFERROR(AVERAGE(Raw_Data!F2:F300),0)</f>
        <v>9.3333333333333339</v>
      </c>
    </row>
    <row r="6" spans="1:4" x14ac:dyDescent="0.2">
      <c r="A6" s="5" t="s">
        <v>60</v>
      </c>
      <c r="B6" s="3">
        <f>IFERROR(MAX(Raw_Data!F2:F300),0)</f>
        <v>23</v>
      </c>
    </row>
    <row r="7" spans="1:4" x14ac:dyDescent="0.2">
      <c r="A7" s="5" t="s">
        <v>61</v>
      </c>
      <c r="B7" s="3">
        <f>IFERROR(MIN(Raw_Data!F2:F300),0)</f>
        <v>0</v>
      </c>
    </row>
    <row r="8" spans="1:4" x14ac:dyDescent="0.2">
      <c r="A8" s="5" t="s">
        <v>62</v>
      </c>
      <c r="B8" s="3">
        <f>COUNTIF(Raw_Data!H2:H300,"On Time")</f>
        <v>5</v>
      </c>
    </row>
    <row r="9" spans="1:4" x14ac:dyDescent="0.2">
      <c r="A9" s="5" t="s">
        <v>63</v>
      </c>
      <c r="B9" s="3">
        <f>COUNTIF(Raw_Data!H2:H300,"Delayed")</f>
        <v>7</v>
      </c>
    </row>
    <row r="10" spans="1:4" x14ac:dyDescent="0.2">
      <c r="A10" s="5" t="s">
        <v>64</v>
      </c>
      <c r="B10" s="6">
        <f>IFERROR(B8/B4*100,0)</f>
        <v>41.666666666666671</v>
      </c>
    </row>
    <row r="13" spans="1:4" x14ac:dyDescent="0.2">
      <c r="A13" s="11" t="s">
        <v>65</v>
      </c>
      <c r="B13" s="11"/>
      <c r="C13" s="11"/>
    </row>
    <row r="14" spans="1:4" x14ac:dyDescent="0.2">
      <c r="A14" s="7" t="s">
        <v>8</v>
      </c>
      <c r="B14" s="7" t="s">
        <v>66</v>
      </c>
      <c r="C14" s="7" t="s">
        <v>67</v>
      </c>
    </row>
    <row r="15" spans="1:4" x14ac:dyDescent="0.2">
      <c r="A15" s="3" t="s">
        <v>68</v>
      </c>
      <c r="B15" s="3">
        <f>COUNTIF(Raw_Data!$I$2:$I$300,A15)</f>
        <v>3</v>
      </c>
      <c r="C15" s="6">
        <f>IFERROR(AVERAGEIF(Raw_Data!$I$2:$I$300,A15,Raw_Data!$F$2:$F$300),0)</f>
        <v>0</v>
      </c>
    </row>
    <row r="16" spans="1:4" x14ac:dyDescent="0.2">
      <c r="A16" s="3" t="s">
        <v>69</v>
      </c>
      <c r="B16" s="3">
        <f>COUNTIF(Raw_Data!$I$2:$I$300,A16)</f>
        <v>4</v>
      </c>
      <c r="C16" s="6">
        <f>IFERROR(AVERAGEIF(Raw_Data!$I$2:$I$300,A16,Raw_Data!$F$2:$F$300),0)</f>
        <v>4.75</v>
      </c>
    </row>
    <row r="17" spans="1:3" x14ac:dyDescent="0.2">
      <c r="A17" s="3" t="s">
        <v>70</v>
      </c>
      <c r="B17" s="3">
        <f>COUNTIF(Raw_Data!$I$2:$I$300,A17)</f>
        <v>5</v>
      </c>
      <c r="C17" s="6">
        <f>IFERROR(AVERAGEIF(Raw_Data!$I$2:$I$300,A17,Raw_Data!$F$2:$F$300),0)</f>
        <v>18.600000000000001</v>
      </c>
    </row>
    <row r="20" spans="1:3" x14ac:dyDescent="0.2">
      <c r="A20" s="11" t="s">
        <v>71</v>
      </c>
      <c r="B20" s="11"/>
    </row>
    <row r="21" spans="1:3" x14ac:dyDescent="0.2">
      <c r="A21" s="7" t="s">
        <v>7</v>
      </c>
      <c r="B21" s="7" t="s">
        <v>72</v>
      </c>
    </row>
    <row r="22" spans="1:3" x14ac:dyDescent="0.2">
      <c r="A22" s="3" t="s">
        <v>73</v>
      </c>
      <c r="B22" s="3">
        <f>COUNTIF(Raw_Data!$H$2:$H$300,A22)</f>
        <v>5</v>
      </c>
    </row>
    <row r="23" spans="1:3" x14ac:dyDescent="0.2">
      <c r="A23" s="3" t="s">
        <v>74</v>
      </c>
      <c r="B23" s="3">
        <f>COUNTIF(Raw_Data!$H$2:$H$300,A23)</f>
        <v>7</v>
      </c>
    </row>
    <row r="26" spans="1:3" x14ac:dyDescent="0.2">
      <c r="A26" s="11" t="s">
        <v>75</v>
      </c>
      <c r="B26" s="11"/>
      <c r="C26" s="11"/>
    </row>
    <row r="27" spans="1:3" x14ac:dyDescent="0.2">
      <c r="A27" s="7" t="s">
        <v>2</v>
      </c>
      <c r="B27" s="7" t="s">
        <v>66</v>
      </c>
      <c r="C27" s="7" t="s">
        <v>67</v>
      </c>
    </row>
    <row r="28" spans="1:3" x14ac:dyDescent="0.2">
      <c r="A28" s="3">
        <v>1</v>
      </c>
      <c r="B28" s="3">
        <f>COUNTIF(Raw_Data!$C$2:$C$300,A28)</f>
        <v>4</v>
      </c>
      <c r="C28" s="6">
        <f>IFERROR(AVERAGEIF(Raw_Data!$C$2:$C$300,A28,Raw_Data!$F$2:$F$300),0)</f>
        <v>5.75</v>
      </c>
    </row>
    <row r="29" spans="1:3" x14ac:dyDescent="0.2">
      <c r="A29" s="3">
        <v>2</v>
      </c>
      <c r="B29" s="3">
        <f>COUNTIF(Raw_Data!$C$2:$C$300,A29)</f>
        <v>3</v>
      </c>
      <c r="C29" s="6">
        <f>IFERROR(AVERAGEIF(Raw_Data!$C$2:$C$300,A29,Raw_Data!$F$2:$F$300),0)</f>
        <v>6</v>
      </c>
    </row>
    <row r="30" spans="1:3" x14ac:dyDescent="0.2">
      <c r="A30" s="3">
        <v>3</v>
      </c>
      <c r="B30" s="3">
        <f>COUNTIF(Raw_Data!$C$2:$C$300,A30)</f>
        <v>3</v>
      </c>
      <c r="C30" s="6">
        <f>IFERROR(AVERAGEIF(Raw_Data!$C$2:$C$300,A30,Raw_Data!$F$2:$F$300),0)</f>
        <v>9.6666666666666661</v>
      </c>
    </row>
    <row r="31" spans="1:3" x14ac:dyDescent="0.2">
      <c r="A31" s="3">
        <v>4</v>
      </c>
      <c r="B31" s="3">
        <f>COUNTIF(Raw_Data!$C$2:$C$300,A31)</f>
        <v>2</v>
      </c>
      <c r="C31" s="6">
        <f>IFERROR(AVERAGEIF(Raw_Data!$C$2:$C$300,A31,Raw_Data!$F$2:$F$300),0)</f>
        <v>21</v>
      </c>
    </row>
    <row r="34" spans="1:3" x14ac:dyDescent="0.2">
      <c r="A34" s="11" t="s">
        <v>76</v>
      </c>
      <c r="B34" s="11"/>
      <c r="C34" s="11"/>
    </row>
    <row r="35" spans="1:3" x14ac:dyDescent="0.2">
      <c r="A35" s="7" t="s">
        <v>9</v>
      </c>
      <c r="B35" s="7" t="s">
        <v>66</v>
      </c>
      <c r="C35" s="7" t="s">
        <v>67</v>
      </c>
    </row>
    <row r="36" spans="1:3" x14ac:dyDescent="0.2">
      <c r="A36" s="3" t="s">
        <v>77</v>
      </c>
      <c r="B36" s="3">
        <f>COUNTIF(Raw_Data!$J$2:$J$300,A36)</f>
        <v>4</v>
      </c>
      <c r="C36" s="6">
        <f>IFERROR(AVERAGEIF(Raw_Data!$J$2:$J$300,A36,Raw_Data!$F$2:$F$300),0)</f>
        <v>6.75</v>
      </c>
    </row>
    <row r="37" spans="1:3" x14ac:dyDescent="0.2">
      <c r="A37" s="3" t="s">
        <v>78</v>
      </c>
      <c r="B37" s="3">
        <f>COUNTIF(Raw_Data!$J$2:$J$300,A37)</f>
        <v>4</v>
      </c>
      <c r="C37" s="6">
        <f>IFERROR(AVERAGEIF(Raw_Data!$J$2:$J$300,A37,Raw_Data!$F$2:$F$300),0)</f>
        <v>9.5</v>
      </c>
    </row>
    <row r="38" spans="1:3" x14ac:dyDescent="0.2">
      <c r="A38" s="3" t="s">
        <v>79</v>
      </c>
      <c r="B38" s="3">
        <f>COUNTIF(Raw_Data!$J$2:$J$300,A38)</f>
        <v>2</v>
      </c>
      <c r="C38" s="6">
        <f>IFERROR(AVERAGEIF(Raw_Data!$J$2:$J$300,A38,Raw_Data!$F$2:$F$300),0)</f>
        <v>12.5</v>
      </c>
    </row>
    <row r="39" spans="1:3" x14ac:dyDescent="0.2">
      <c r="A39" s="3" t="s">
        <v>80</v>
      </c>
      <c r="B39" s="3">
        <f>COUNTIF(Raw_Data!$J$2:$J$300,A39)</f>
        <v>2</v>
      </c>
      <c r="C39" s="6">
        <f>IFERROR(AVERAGEIF(Raw_Data!$J$2:$J$300,A39,Raw_Data!$F$2:$F$300),0)</f>
        <v>11</v>
      </c>
    </row>
    <row r="42" spans="1:3" x14ac:dyDescent="0.2">
      <c r="A42" s="11" t="s">
        <v>81</v>
      </c>
      <c r="B42" s="11"/>
    </row>
    <row r="43" spans="1:3" x14ac:dyDescent="0.2">
      <c r="A43" s="7" t="s">
        <v>10</v>
      </c>
      <c r="B43" s="7" t="s">
        <v>66</v>
      </c>
    </row>
    <row r="44" spans="1:3" x14ac:dyDescent="0.2">
      <c r="A44" s="3" t="s">
        <v>82</v>
      </c>
      <c r="B44" s="3">
        <f>COUNTIF(Raw_Data!$K$2:$K$300,A44)</f>
        <v>5</v>
      </c>
    </row>
    <row r="45" spans="1:3" x14ac:dyDescent="0.2">
      <c r="A45" s="3" t="s">
        <v>83</v>
      </c>
      <c r="B45" s="3">
        <f>COUNTIF(Raw_Data!$K$2:$K$300,A45)</f>
        <v>3</v>
      </c>
    </row>
    <row r="46" spans="1:3" x14ac:dyDescent="0.2">
      <c r="A46" s="3" t="s">
        <v>84</v>
      </c>
      <c r="B46" s="3">
        <f>COUNTIF(Raw_Data!$K$2:$K$300,A46)</f>
        <v>4</v>
      </c>
    </row>
    <row r="47" spans="1:3" x14ac:dyDescent="0.2">
      <c r="A47" s="3" t="s">
        <v>85</v>
      </c>
      <c r="B47" s="3">
        <f>COUNTIF(Raw_Data!$K$2:$K$300,A47)</f>
        <v>0</v>
      </c>
    </row>
    <row r="50" spans="1:3" x14ac:dyDescent="0.2">
      <c r="A50" s="11" t="s">
        <v>86</v>
      </c>
      <c r="B50" s="11"/>
      <c r="C50" s="11"/>
    </row>
    <row r="51" spans="1:3" x14ac:dyDescent="0.2">
      <c r="A51" s="7" t="s">
        <v>87</v>
      </c>
      <c r="B51" s="7" t="s">
        <v>1</v>
      </c>
      <c r="C51" s="7" t="s">
        <v>5</v>
      </c>
    </row>
    <row r="52" spans="1:3" x14ac:dyDescent="0.2">
      <c r="A52" s="3">
        <v>1</v>
      </c>
      <c r="B52" s="8" t="str">
        <f>IFERROR(INDEX(Raw_Data!$B$2:$B$300,MATCH(C52,Raw_Data!$F$2:$F$300,0)),"")</f>
        <v>Vasco Patna Express</v>
      </c>
      <c r="C52" s="3">
        <f>IFERROR(LARGE(Raw_Data!$F$2:$F$300,1),0)</f>
        <v>23</v>
      </c>
    </row>
    <row r="53" spans="1:3" x14ac:dyDescent="0.2">
      <c r="A53" s="3">
        <v>2</v>
      </c>
      <c r="B53" s="8" t="str">
        <f>IFERROR(INDEX(Raw_Data!$B$2:$B$300,MATCH(C53,Raw_Data!$F$2:$F$300,0)),"")</f>
        <v>Mangalore Mail</v>
      </c>
      <c r="C53" s="3">
        <f>IFERROR(LARGE(Raw_Data!$F$2:$F$300,2),0)</f>
        <v>22</v>
      </c>
    </row>
    <row r="54" spans="1:3" x14ac:dyDescent="0.2">
      <c r="A54" s="3">
        <v>3</v>
      </c>
      <c r="B54" s="8" t="str">
        <f>IFERROR(INDEX(Raw_Data!$B$2:$B$300,MATCH(C54,Raw_Data!$F$2:$F$300,0)),"")</f>
        <v>Karwar Express</v>
      </c>
      <c r="C54" s="3">
        <f>IFERROR(LARGE(Raw_Data!$F$2:$F$300,3),0)</f>
        <v>19</v>
      </c>
    </row>
    <row r="55" spans="1:3" x14ac:dyDescent="0.2">
      <c r="A55" s="3">
        <v>4</v>
      </c>
      <c r="B55" s="8" t="str">
        <f>IFERROR(INDEX(Raw_Data!$B$2:$B$300,MATCH(C55,Raw_Data!$F$2:$F$300,0)),"")</f>
        <v>Gomantak Express</v>
      </c>
      <c r="C55" s="3">
        <f>IFERROR(LARGE(Raw_Data!$F$2:$F$300,4),0)</f>
        <v>16</v>
      </c>
    </row>
    <row r="56" spans="1:3" x14ac:dyDescent="0.2">
      <c r="A56" s="3">
        <v>5</v>
      </c>
      <c r="B56" s="8" t="str">
        <f>IFERROR(INDEX(Raw_Data!$B$2:$B$300,MATCH(C56,Raw_Data!$F$2:$F$300,0)),"")</f>
        <v>Intercity Express</v>
      </c>
      <c r="C56" s="3">
        <f>IFERROR(LARGE(Raw_Data!$F$2:$F$300,5),0)</f>
        <v>13</v>
      </c>
    </row>
    <row r="57" spans="1:3" x14ac:dyDescent="0.2">
      <c r="A57" s="13" t="s">
        <v>88</v>
      </c>
      <c r="B57" s="13"/>
      <c r="C57" s="13"/>
    </row>
    <row r="59" spans="1:3" x14ac:dyDescent="0.2">
      <c r="A59" s="11" t="s">
        <v>89</v>
      </c>
      <c r="B59" s="11"/>
      <c r="C59" s="11"/>
    </row>
    <row r="60" spans="1:3" x14ac:dyDescent="0.2">
      <c r="A60" s="10" t="s">
        <v>90</v>
      </c>
      <c r="B60" s="10"/>
      <c r="C60" s="9">
        <f>IFERROR(CORREL(Raw_Data!$G$2:$G$300,Raw_Data!$F$2:$F$300),0)</f>
        <v>0.95226739078146305</v>
      </c>
    </row>
    <row r="61" spans="1:3" x14ac:dyDescent="0.2">
      <c r="A61" s="10" t="s">
        <v>91</v>
      </c>
      <c r="B61" s="10"/>
      <c r="C61" s="9">
        <f>C60^2</f>
        <v>0.9068131835457357</v>
      </c>
    </row>
    <row r="63" spans="1:3" x14ac:dyDescent="0.2">
      <c r="A63" s="11" t="s">
        <v>92</v>
      </c>
      <c r="B63" s="11"/>
      <c r="C63" s="11"/>
    </row>
    <row r="64" spans="1:3" x14ac:dyDescent="0.2">
      <c r="A64" s="12" t="str">
        <f>"Across "&amp;B4&amp;" trains, average delay is "&amp;TEXT(B5,"0.0")&amp;" min (range "&amp;TEXT(B7,"0")&amp;"–"&amp;TEXT(B6,"0")&amp;" min). "&amp;TEXT(B10,"0.0")&amp;"% of trains are on time. Traffic density correlates with delay at "&amp;TEXT(C60,"0.00")&amp;", indicating a "&amp;IF(C60&gt;0.7,"strong",IF(C60&gt;0.4,"moderate","weak"))&amp;" positive relationship between congestion and delay."</f>
        <v>Across 12 trains, average delay is 9.3 min (range 0–23 min). 41.7% of trains are on time. Traffic density correlates with delay at 0.95, indicating a strong positive relationship between congestion and delay.</v>
      </c>
      <c r="B64" s="12"/>
      <c r="C64" s="12"/>
    </row>
    <row r="65" spans="1:3" x14ac:dyDescent="0.2">
      <c r="A65" s="12"/>
      <c r="B65" s="12"/>
      <c r="C65" s="12"/>
    </row>
    <row r="66" spans="1:3" x14ac:dyDescent="0.2">
      <c r="A66" s="12"/>
      <c r="B66" s="12"/>
      <c r="C66" s="12"/>
    </row>
  </sheetData>
  <mergeCells count="14">
    <mergeCell ref="A1:D1"/>
    <mergeCell ref="A3:B3"/>
    <mergeCell ref="A13:C13"/>
    <mergeCell ref="A20:B20"/>
    <mergeCell ref="A26:C26"/>
    <mergeCell ref="A60:B60"/>
    <mergeCell ref="A61:B61"/>
    <mergeCell ref="A63:C63"/>
    <mergeCell ref="A64:C66"/>
    <mergeCell ref="A34:C34"/>
    <mergeCell ref="A42:B42"/>
    <mergeCell ref="A50:C50"/>
    <mergeCell ref="A57:C57"/>
    <mergeCell ref="A59:C5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showGridLines="0" tabSelected="1" zoomScaleNormal="100" workbookViewId="0">
      <selection activeCell="B19" sqref="B19"/>
    </sheetView>
  </sheetViews>
  <sheetFormatPr defaultColWidth="8.7421875" defaultRowHeight="15" x14ac:dyDescent="0.2"/>
  <cols>
    <col min="1" max="8" width="13.98828125" customWidth="1"/>
  </cols>
  <sheetData>
    <row r="1" spans="1:8" ht="20.25" x14ac:dyDescent="0.25">
      <c r="A1" s="15" t="s">
        <v>93</v>
      </c>
      <c r="B1" s="15"/>
      <c r="C1" s="15"/>
      <c r="D1" s="15"/>
      <c r="E1" s="15"/>
      <c r="F1" s="15"/>
      <c r="G1" s="15"/>
      <c r="H1" s="15"/>
    </row>
    <row r="2" spans="1:8" x14ac:dyDescent="0.2">
      <c r="A2" s="13" t="s">
        <v>94</v>
      </c>
      <c r="B2" s="13"/>
      <c r="C2" s="13"/>
      <c r="D2" s="13"/>
      <c r="E2" s="13"/>
      <c r="F2" s="13"/>
      <c r="G2" s="13"/>
      <c r="H2" s="1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2026-07-15T09:29:55Z</dcterms:created>
  <dcterms:modified xsi:type="dcterms:W3CDTF">2026-07-15T09:30:02Z</dcterms:modified>
  <dc:language>en-US</dc:language>
</cp:coreProperties>
</file>